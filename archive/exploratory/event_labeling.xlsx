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rticle Labeling" sheetId="1" state="visible" r:id="rId1"/>
    <sheet name="Validation Metric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9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808080"/>
      <sz val="8"/>
    </font>
    <font>
      <name val="Calibri"/>
      <color theme="1"/>
      <sz val="11"/>
    </font>
    <font>
      <name val="Calibri"/>
      <color theme="1"/>
      <sz val="11"/>
      <u val="single"/>
    </font>
    <font>
      <name val="Calibri"/>
      <color theme="1"/>
      <scheme val="minor"/>
    </font>
    <font>
      <color rgb="FF0000FF"/>
      <u val="single"/>
    </font>
    <font>
      <name val="Calibri"/>
      <color rgb="FF0000FF"/>
      <sz val="11"/>
      <u val="single"/>
    </font>
    <font>
      <name val="Arial"/>
      <b val="1"/>
      <color rgb="FF2F5496"/>
      <sz val="14"/>
    </font>
    <font>
      <name val="Arial"/>
      <i val="1"/>
      <color rgb="FF808080"/>
      <sz val="9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0000"/>
      <sz val="10"/>
    </font>
    <font>
      <name val="Arial"/>
      <b val="1"/>
      <color rgb="FF2F5496"/>
      <sz val="15"/>
    </font>
    <font>
      <name val="Arial"/>
      <i val="1"/>
      <color rgb="FF595959"/>
      <sz val="10"/>
    </font>
    <font>
      <name val="Arial"/>
      <b val="1"/>
      <color rgb="FF2F5496"/>
      <sz val="11"/>
    </font>
    <font>
      <b val="1"/>
    </font>
  </fonts>
  <fills count="7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3" fillId="2" borderId="2" applyAlignment="1" pivotButton="0" quotePrefix="0" xfId="0">
      <alignment vertical="bottom"/>
    </xf>
    <xf numFmtId="0" fontId="11" fillId="2" borderId="2" applyAlignment="1" pivotButton="0" quotePrefix="0" xfId="0">
      <alignment vertical="top" wrapText="1"/>
    </xf>
    <xf numFmtId="0" fontId="12" fillId="0" borderId="0" applyAlignment="1" pivotButton="0" quotePrefix="0" xfId="0">
      <alignment vertical="bottom"/>
    </xf>
    <xf numFmtId="0" fontId="11" fillId="0" borderId="0" applyAlignment="1" pivotButton="0" quotePrefix="0" xfId="0">
      <alignment vertical="top" wrapText="1"/>
    </xf>
    <xf numFmtId="165" fontId="13" fillId="5" borderId="2" applyAlignment="1" pivotButton="0" quotePrefix="0" xfId="0">
      <alignment vertical="bottom"/>
    </xf>
    <xf numFmtId="165" fontId="12" fillId="0" borderId="0" applyAlignment="1" pivotButton="0" quotePrefix="0" xfId="0">
      <alignment vertical="bottom"/>
    </xf>
    <xf numFmtId="0" fontId="14" fillId="6" borderId="2" applyAlignment="1" pivotButton="0" quotePrefix="0" xfId="0">
      <alignment vertical="bottom"/>
    </xf>
    <xf numFmtId="0" fontId="13" fillId="3" borderId="2" applyAlignment="1" pivotButton="0" quotePrefix="0" xfId="0">
      <alignment vertical="bottom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0" fillId="0" borderId="0" pivotButton="0" quotePrefix="0" xfId="0"/>
    <xf numFmtId="0" fontId="1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dna.gr/podosfairo/1426838_geremegef-irtha-gia-na-boithiso-sto-skorarisma-den-einai-kati-sobaro-o" TargetMode="External" Id="rId1" /><Relationship Type="http://schemas.openxmlformats.org/officeDocument/2006/relationships/hyperlink" Target="https://www.sdna.gr/podosfairo/1386481_sok-ston-panathinaiko-me-ntesers-rixi-tenonta-kai-25-mines-sta-pits" TargetMode="External" Id="rId2" /><Relationship Type="http://schemas.openxmlformats.org/officeDocument/2006/relationships/hyperlink" Target="https://www.sdna.gr/podosfairo/1327984_aek-fainetai-na-einai-sobaros-o-traymatismos-toy-kaloskami" TargetMode="External" Id="rId3" /><Relationship Type="http://schemas.openxmlformats.org/officeDocument/2006/relationships/hyperlink" Target="https://www.sdna.gr/podosfairo/1417974_o-tsiloylis-epestrepse-stin-agonistiki-drasi-meta-apo-11-mines" TargetMode="External" Id="rId4" /><Relationship Type="http://schemas.openxmlformats.org/officeDocument/2006/relationships/hyperlink" Target="https://www.sdna.gr/podosfairo/1134715_karapapas-o-paiktis-den-eihe-traymatismo" TargetMode="External" Id="rId5" /><Relationship Type="http://schemas.openxmlformats.org/officeDocument/2006/relationships/hyperlink" Target="https://www.sdna.gr/podosfairo/879964_ofi-aek-i-apoboli-toy-libai-gkarsia-vid" TargetMode="External" Id="rId6" /><Relationship Type="http://schemas.openxmlformats.org/officeDocument/2006/relationships/hyperlink" Target="https://www.sdna.gr/podosfairo/929226_aris-aek-syrraxi-ton-paikton-sti-lixi-kai-entona-neyra" TargetMode="External" Id="rId7" /><Relationship Type="http://schemas.openxmlformats.org/officeDocument/2006/relationships/hyperlink" Target="https://www.sdna.gr/podosfairo/1404588_o-tromaktikos-flebaris-toy-paok-enas-traymatismos-se-kathe-paihnidi-kai-epta" TargetMode="External" Id="rId8" /><Relationship Type="http://schemas.openxmlformats.org/officeDocument/2006/relationships/hyperlink" Target="https://www.sdna.gr/podosfairo/1397114_i-apoboli-toy-petkof-me-10-i-kifisia-vid" TargetMode="External" Id="rId9" /><Relationship Type="http://schemas.openxmlformats.org/officeDocument/2006/relationships/hyperlink" Target="https://www.sdna.gr/podosfairo/1378716_sok-stin-aek-me-karargyri-ypesti-rixi-prosthioy-hiastoy" TargetMode="External" Id="rId10" /><Relationship Type="http://schemas.openxmlformats.org/officeDocument/2006/relationships/hyperlink" Target="https://www.sdna.gr/podosfairo/697334_sokaristikos-traymatismos-gia-zose-sa-pics" TargetMode="External" Id="rId11" /><Relationship Type="http://schemas.openxmlformats.org/officeDocument/2006/relationships/hyperlink" Target="https://www.sdna.gr/podosfairo/762586_o-sobaros-traymatismos-toy-mparientos-sti-sygkroysi-me-ton-krespo-vid" TargetMode="External" Id="rId12" /><Relationship Type="http://schemas.openxmlformats.org/officeDocument/2006/relationships/hyperlink" Target="https://www.sdna.gr/podosfairo/825770_atromitos-apollon-o-sobaros-traymatismos-toy-harisi-vid" TargetMode="External" Id="rId13" /><Relationship Type="http://schemas.openxmlformats.org/officeDocument/2006/relationships/hyperlink" Target="https://www.sdna.gr/podosfairo/1374012_me-dakrya-apohorise-traymatias-o-tsikinio-vid" TargetMode="External" Id="rId14" /><Relationship Type="http://schemas.openxmlformats.org/officeDocument/2006/relationships/hyperlink" Target="https://www.sdna.gr/podosfairo/1426350_ofi-horis-treis-kontra-ston-ari" TargetMode="External" Id="rId15" /><Relationship Type="http://schemas.openxmlformats.org/officeDocument/2006/relationships/hyperlink" Target="https://www.sdna.gr/podosfairo/1396291_olympiakos-hanei-aek-kai-pithanotata-panathinaiko-o-pirola" TargetMode="External" Id="rId16" /><Relationship Type="http://schemas.openxmlformats.org/officeDocument/2006/relationships/hyperlink" Target="https://www.sdna.gr/podosfairo/1124921_sok-me-magknoyson-ston-panathinaiko-exi-mines-ektos-me-rixi-prosthioy-hiastoy" TargetMode="External" Id="rId17" /><Relationship Type="http://schemas.openxmlformats.org/officeDocument/2006/relationships/hyperlink" Target="https://www.sdna.gr/podosfairo/1372900_aris-sobaros-traymatismos-gia-alfarela" TargetMode="External" Id="rId18" /><Relationship Type="http://schemas.openxmlformats.org/officeDocument/2006/relationships/hyperlink" Target="https://www.sdna.gr/podosfairo/986271_sok-ston-ofi-ypesti-rixi-hiastoy-o-gribas" TargetMode="External" Id="rId19" /><Relationship Type="http://schemas.openxmlformats.org/officeDocument/2006/relationships/hyperlink" Target="https://www.sdna.gr/podosfairo/1331487_panathinaikos-atyhia-gia-kyriopoylo-foboi-gia-rixi-hiastoy" TargetMode="External" Id="rId20" /><Relationship Type="http://schemas.openxmlformats.org/officeDocument/2006/relationships/hyperlink" Target="https://www.sdna.gr/podosfairo/1399296_traymatismos-kai-anagkastiki-allagi-gia-soyrli-kai-mayria-vid" TargetMode="External" Id="rId21" /><Relationship Type="http://schemas.openxmlformats.org/officeDocument/2006/relationships/hyperlink" Target="https://www.sdna.gr/podosfairo/1399296_traymatismos-kai-anagkastiki-allagi-gia-soyrli-kai-mayria-vid" TargetMode="External" Id="rId22" /><Relationship Type="http://schemas.openxmlformats.org/officeDocument/2006/relationships/hyperlink" Target="https://www.sdna.gr/podosfairo/786419_apohorise-traymatias-o-ntregker-sti-thesi-toy-o-rantzelobits-vid?amp" TargetMode="External" Id="rId23" /><Relationship Type="http://schemas.openxmlformats.org/officeDocument/2006/relationships/hyperlink" Target="https://www.sdna.gr/podosfairo/1428262_sok-me-giazitsi-ston-olympiako-ypesti-rixi-hiastoy" TargetMode="External" Id="rId24" /><Relationship Type="http://schemas.openxmlformats.org/officeDocument/2006/relationships/hyperlink" Target="https://www.sdna.gr/podosfairo/1431679_sok-ston-panserraiko-me-tsaoysi-ypesti-rixi-hiaston" TargetMode="External" Id="rId25" /><Relationship Type="http://schemas.openxmlformats.org/officeDocument/2006/relationships/hyperlink" Target="https://www.sdna.gr/podosfairo/1402496_symfonoyn-ked-kai-paratiritis-adiki-i-apoboli-toy-lebadeiakoy-me-olympiako" TargetMode="External" Id="rId26" /><Relationship Type="http://schemas.openxmlformats.org/officeDocument/2006/relationships/hyperlink" Target="https://www.sdna.gr/podosfairo/1426830_me-10-paiktes-sto-ntermpi-o-panathinaikos-ystera-apo-apoboli-toy-ernanteth-vid" TargetMode="External" Id="rId27" /><Relationship Type="http://schemas.openxmlformats.org/officeDocument/2006/relationships/hyperlink" Target="https://www.sdna.gr/podosfairo/929196_exallos-me-tin-apoboli-toy-o-bigiafanies-den-ton-akoympisa-kan-einai-ntropi?amp" TargetMode="External" Id="rId28" /><Relationship Type="http://schemas.openxmlformats.org/officeDocument/2006/relationships/hyperlink" Target="https://www.sdna.gr/podosfairo/1438986_kalogeropoylos-olympiake-se-eyharisto-gia-oles-tis-magikes-stigmes-pics" TargetMode="External" Id="rId29" /><Relationship Type="http://schemas.openxmlformats.org/officeDocument/2006/relationships/hyperlink" Target="https://www.sdna.gr/podosfairo/1438804_asteras-aktor-parelthon-o-mitrobits-poy-paei-boibontina" TargetMode="External" Id="rId30" /><Relationship Type="http://schemas.openxmlformats.org/officeDocument/2006/relationships/hyperlink" Target="https://www.sdna.gr/podosfairo/858145_olympiakos-penthos-gia-ton-abraam-papadopoylo-ehase-ton-patera-toy" TargetMode="External" Id="rId31" /><Relationship Type="http://schemas.openxmlformats.org/officeDocument/2006/relationships/hyperlink" Target="https://www.sdna.gr/podosfairo/1184849_ntespontof-afieromeni-i-niki-se-papen-kai-mihailidi" TargetMode="External" Id="rId32" /><Relationship Type="http://schemas.openxmlformats.org/officeDocument/2006/relationships/hyperlink" Target="https://www.sdna.gr/podosfairo/973747_aris-pateras-o-ntaniel-mantsini" TargetMode="External" Id="rId33" /><Relationship Type="http://schemas.openxmlformats.org/officeDocument/2006/relationships/hyperlink" Target="https://www.sdna.gr/podosfairo/1197655_stigmes-eytyhias-gia-ton-aitor-egine-pateras-gia-proti-fora" TargetMode="External" Id="rId34" /><Relationship Type="http://schemas.openxmlformats.org/officeDocument/2006/relationships/hyperlink" Target="https://www.sdna.gr/podosfairo/1327576_deytero-test-gia-ton-ari-apenanti-stin-anterleht-eykairies-apo-oyzoynidi-se-nea" TargetMode="External" Id="rId35" /><Relationship Type="http://schemas.openxmlformats.org/officeDocument/2006/relationships/hyperlink" Target="https://www.sdna.gr/podosfairo/1310244_syzygos-bieirinia-otan-o-antre-gyrise-ston-paok-kaneis-den-toy-eipe-oti-itan-i" TargetMode="External" Id="rId36" /><Relationship Type="http://schemas.openxmlformats.org/officeDocument/2006/relationships/hyperlink" Target="https://www.sdna.gr/podosfairo/1311230_kremane-ta-papoytsia-toys-dyo-athorybes-metagrafes-poy-eginan-simeio-anaforas" TargetMode="External" Id="rId37" /><Relationship Type="http://schemas.openxmlformats.org/officeDocument/2006/relationships/hyperlink" Target="https://www.sdna.gr/podosfairo/1096569_pantreytike-o-almperto-mprinioli-vid" TargetMode="External" Id="rId38" /><Relationship Type="http://schemas.openxmlformats.org/officeDocument/2006/relationships/hyperlink" Target="https://www.sdna.gr/podosfairo/1205795_paok-pantreytike-kai-o-gioni-oto-pic" TargetMode="External" Id="rId39" /><Relationship Type="http://schemas.openxmlformats.org/officeDocument/2006/relationships/hyperlink" Target="https://www.sdna.gr/podosfairo/1311230_kremane-ta-papoytsia-toys-dyo-athorybes-metagrafes-poy-eginan-simeio-anaforas" TargetMode="External" Id="rId40" /><Relationship Type="http://schemas.openxmlformats.org/officeDocument/2006/relationships/hyperlink" Target="https://www.sdna.gr/podosfairo/1364964_egine-gia-proti-fora-pateras-o-pirola-pic" TargetMode="External" Id="rId41" /><Relationship Type="http://schemas.openxmlformats.org/officeDocument/2006/relationships/hyperlink" Target="https://www.sdna.gr/podosfairo/1437441_imeres-haras-ston-paok-baftise-tin-kori-toy-o-zibkobits-pantreytike-o-tsiftsis" TargetMode="External" Id="rId42" /><Relationship Type="http://schemas.openxmlformats.org/officeDocument/2006/relationships/hyperlink" Target="https://www.gazzetta.gr/football/superleague/2160985/panathinaikos-oi-5-traymatismoi-ton-paikton-toy-trifyllioy-vid" TargetMode="External" Id="rId43" /><Relationship Type="http://schemas.openxmlformats.org/officeDocument/2006/relationships/hyperlink" Target="https://www.gazzetta.gr/football/superleague/2160985/panathinaikos-oi-5-traymatismoi-ton-paikton-toy-trifyllioy-vid" TargetMode="External" Id="rId44" /><Relationship Type="http://schemas.openxmlformats.org/officeDocument/2006/relationships/hyperlink" Target="https://www.gazzetta.gr/football/superleague/2160985/panathinaikos-oi-5-traymatismoi-ton-paikton-toy-trifyllioy-vid" TargetMode="External" Id="rId45" /><Relationship Type="http://schemas.openxmlformats.org/officeDocument/2006/relationships/hyperlink" Target="https://www.gazzetta.gr/football/superleague/2160985/panathinaikos-oi-5-traymatismoi-ton-paikton-toy-trifyllioy-vid" TargetMode="External" Id="rId46" /><Relationship Type="http://schemas.openxmlformats.org/officeDocument/2006/relationships/hyperlink" Target="https://www.gazzetta.gr/football/superleague/2160969/lamia-panathinaikos-sobaros-traymatismos-toy-troyigie-sto-gonato-sto" TargetMode="External" Id="rId47" /><Relationship Type="http://schemas.openxmlformats.org/officeDocument/2006/relationships/hyperlink" Target="https://www.gazzetta.gr/football/superleague/2033691/paok-sok-me-olibeira-ypesti-meriki-rixi-hiastoy" TargetMode="External" Id="rId48" /><Relationship Type="http://schemas.openxmlformats.org/officeDocument/2006/relationships/hyperlink" Target="https://www.gazzetta.gr/football/superleague/2492276/panathinaikos-o-tetartos-sobaros-myikos-traymatismos-toy-pelistri-se" TargetMode="External" Id="rId49" /><Relationship Type="http://schemas.openxmlformats.org/officeDocument/2006/relationships/hyperlink" Target="https://www.gazzetta.gr/football/superleague/2504854/ntesers-minyma-toy-nigirianoy-meta-ton-traymatismo-toy" TargetMode="External" Id="rId50" /><Relationship Type="http://schemas.openxmlformats.org/officeDocument/2006/relationships/hyperlink" Target="https://www.gazzetta.gr/football/1096569_pantreytike-o-almperto-mprinioli-vid" TargetMode="External" Id="rId51" /><Relationship Type="http://schemas.openxmlformats.org/officeDocument/2006/relationships/hyperlink" Target="https://www.gazzetta.gr/football/1205795_paok-pantreytike-kai-o-gioni-oto-pic" TargetMode="External" Id="rId52" /><Relationship Type="http://schemas.openxmlformats.org/officeDocument/2006/relationships/hyperlink" Target="https://www.gazzetta.gr/football/superleague/2039529/panathinaikos-pantreytike-kai-erhetai-ellada-o-palasios-pics-vids" TargetMode="External" Id="rId53" /><Relationship Type="http://schemas.openxmlformats.org/officeDocument/2006/relationships/hyperlink" Target="https://www.gazzetta.gr/football/superleague/2125148/panathinaikos-pantreytike-o-palasios-kai-eklepse-tin-parastasi-me" TargetMode="External" Id="rId54" /><Relationship Type="http://schemas.openxmlformats.org/officeDocument/2006/relationships/hyperlink" Target="https://www.gazzetta.gr/football/superleague/2513372/eyharista-nea-gia-ton-marin-pateras-gia-deyteri-fora-o-roymanos-mesos" TargetMode="External" Id="rId55" /><Relationship Type="http://schemas.openxmlformats.org/officeDocument/2006/relationships/hyperlink" Target="https://www.gazzetta.gr/football/superleague/2374999/aris-egine-pateras-o-koyesta" TargetMode="External" Id="rId56" /><Relationship Type="http://schemas.openxmlformats.org/officeDocument/2006/relationships/hyperlink" Target="https://www.gazzetta.gr/football/2062441/paok-o-sintklei-fereira-pantreytike-tin-entyposiaki-tais-pineiro" TargetMode="External" Id="rId57" /><Relationship Type="http://schemas.openxmlformats.org/officeDocument/2006/relationships/hyperlink" Target="https://www.gazzetta.gr/football/superleague/2537727/adianoiti-gkinia-gia-giazitsi-treis-rixeis-hiastoy-se-exi-hronia" TargetMode="External" Id="rId58" /><Relationship Type="http://schemas.openxmlformats.org/officeDocument/2006/relationships/hyperlink" Target="https://www.gazzetta.gr/football/superleague/2525072/paok-o-soretire-epathe-zimia-kai-gyrizei-apo-ti-nea-sezon" TargetMode="External" Id="rId59" /><Relationship Type="http://schemas.openxmlformats.org/officeDocument/2006/relationships/hyperlink" Target="https://www.gazzetta.gr/football/superleague/2541224/bargka-na-petyhaino-perissotera-gkol-kai-na-pairno-titloys-me-tin-aek" TargetMode="External" Id="rId60" /><Relationship Type="http://schemas.openxmlformats.org/officeDocument/2006/relationships/hyperlink" Target="https://www.gazzetta.gr/football/superleague/2026129/egine-pateras-o-mproyno-gkama" TargetMode="External" Id="rId61" /><Relationship Type="http://schemas.openxmlformats.org/officeDocument/2006/relationships/hyperlink" Target="https://www.gazzetta.gr/football/superleague/article/1434474/panathinaikos-pantreytike-o-kolovos-pics" TargetMode="External" Id="rId62" /><Relationship Type="http://schemas.openxmlformats.org/officeDocument/2006/relationships/hyperlink" Target="https://www.gazzetta.gr/football/superleague/2446914/aek-o-mprinioli-egine-pateras-gia-proti-fora" TargetMode="External" Id="rId63" /><Relationship Type="http://schemas.openxmlformats.org/officeDocument/2006/relationships/hyperlink" Target="https://www.gazzetta.gr/football/superleague/2339417/paok-o-zifkobits-pantreytike-me-ooo-paokara-eho-trela-mesa-sto-myalo" TargetMode="External" Id="rId64" /><Relationship Type="http://schemas.openxmlformats.org/officeDocument/2006/relationships/hyperlink" Target="https://www.gazzetta.gr/football/superleague/article/1594918/aek-pantreytike-o-panagiotis-kone-pics" TargetMode="External" Id="rId65" /><Relationship Type="http://schemas.openxmlformats.org/officeDocument/2006/relationships/hyperlink" Target="https://www.gazzetta.gr/football/superleague/2392565/panathinaikos-oskar-atyhias-gia-ton-magknoyson" TargetMode="External" Id="rId66" /><Relationship Type="http://schemas.openxmlformats.org/officeDocument/2006/relationships/hyperlink" Target="https://www.gazzetta.gr/football/superleague/2535893/olympiakos-i-hapoel-tel-abib-energopoiise-tin-opsion-toy-laintner" TargetMode="External" Id="rId67" /><Relationship Type="http://schemas.openxmlformats.org/officeDocument/2006/relationships/hyperlink" Target="https://www.gazzetta.gr/football/superleague/2525981/aek-traymatistike-ston-astragalo-o-bargka" TargetMode="External" Id="rId68" /><Relationship Type="http://schemas.openxmlformats.org/officeDocument/2006/relationships/hyperlink" Target="https://www.gazzetta.gr/football/superleague/2424317/olympiakos-apefygan-ti-baria-thlasi-oi-el-kampi-kai-orta-stoheyoyn" TargetMode="External" Id="rId69" /><Relationship Type="http://schemas.openxmlformats.org/officeDocument/2006/relationships/hyperlink" Target="https://www.gazzetta.gr/football/superleague/2424317/olympiakos-apefygan-ti-baria-thlasi-oi-el-kampi-kai-orta-stoheyoyn" TargetMode="External" Id="rId70" /><Relationship Type="http://schemas.openxmlformats.org/officeDocument/2006/relationships/hyperlink" Target="https://www.gazzetta.gr/football/superleague/2380932/panathinaikos-symperiferetai-os-syllogos-megalos-alla-ola-tha-einai" TargetMode="External" Id="rId71" /><Relationship Type="http://schemas.openxmlformats.org/officeDocument/2006/relationships/hyperlink" Target="https://www.gazzetta.gr/football/superleague/2317788/paok-pethane-o-pateras-toy-gianni-mihailidi-ta-syllypitiria-toy" TargetMode="External" Id="rId72" /><Relationship Type="http://schemas.openxmlformats.org/officeDocument/2006/relationships/hyperlink" Target="https://www.gazzetta.gr/football/superleague/2460066/panathinaikos-rixi-hiastoy-o-kyriopoylos-mpainei-amesa-sto-heiroyrgeio" TargetMode="External" Id="rId73" /><Relationship Type="http://schemas.openxmlformats.org/officeDocument/2006/relationships/hyperlink" Target="https://www.gazzetta.gr/football/superleague/2384856/olympiakos-epibebaiothike-i-rixi-hiastoy-toy-giazitsi" TargetMode="External" Id="rId74" /><Relationship Type="http://schemas.openxmlformats.org/officeDocument/2006/relationships/hyperlink" Target="https://www.gazzetta.gr/football/superleague/2294027/almperto-mprinioli-25-hronia-me-polla-ups-kai-elahista-downs-vid" TargetMode="External" Id="rId75" /><Relationship Type="http://schemas.openxmlformats.org/officeDocument/2006/relationships/hyperlink" Target="https://www.gazzetta.gr/football/superleague/2375311/koyesta-einai-exairetiko-synaisthima" TargetMode="External" Id="rId76" /><Relationship Type="http://schemas.openxmlformats.org/officeDocument/2006/relationships/hyperlink" Target="https://www.gazzetta.gr/football/superleague/2547718/paolo-fernantes-eho-stin-kardia-moy-tin-aek-alla-thelo-na-paizo-tha" TargetMode="External" Id="rId77" /><Relationship Type="http://schemas.openxmlformats.org/officeDocument/2006/relationships/hyperlink" Target="https://www.sportdog.gr/podosfairo/superleague/951443/paok-h-eksomologhsh-ntespontof-gia-ton-traymatismo-toy" TargetMode="External" Id="rId78" /><Relationship Type="http://schemas.openxmlformats.org/officeDocument/2006/relationships/hyperlink" Target="https://www.sportdog.gr/podosfairo/superleague/939091/paok-h-aktinografia-loytseskoy-gia-toys-traymaties" TargetMode="External" Id="rId79" /><Relationship Type="http://schemas.openxmlformats.org/officeDocument/2006/relationships/hyperlink" Target="https://www.sportdog.gr/podosfairo/superleague/939091/paok-h-aktinografia-loytseskoy-gia-toys-traymaties" TargetMode="External" Id="rId80" /><Relationship Type="http://schemas.openxmlformats.org/officeDocument/2006/relationships/hyperlink" Target="https://www.sportdog.gr/podosfairo/superleague/939091/paok-h-aktinografia-loytseskoy-gia-toys-traymaties" TargetMode="External" Id="rId81" /><Relationship Type="http://schemas.openxmlformats.org/officeDocument/2006/relationships/hyperlink" Target="https://www.sportdog.gr/podosfairo/superleague/939091/paok-h-aktinografia-loytseskoy-gia-toys-traymaties" TargetMode="External" Id="rId82" /><Relationship Type="http://schemas.openxmlformats.org/officeDocument/2006/relationships/hyperlink" Target="https://www.sportdog.gr/podosfairo/superleague/939091/paok-h-aktinografia-loytseskoy-gia-toys-traymaties" TargetMode="External" Id="rId83" /><Relationship Type="http://schemas.openxmlformats.org/officeDocument/2006/relationships/hyperlink" Target="https://www.sportdog.gr/podosfairo/superleague/939091/paok-h-aktinografia-loytseskoy-gia-toys-traymaties" TargetMode="External" Id="rId84" /><Relationship Type="http://schemas.openxmlformats.org/officeDocument/2006/relationships/hyperlink" Target="https://www.sportdog.gr/podosfairo/superleague/847601/ekselikseis-me-ton-traymatismo-toy-moykoynti-na-ti-pragmatika-symbainei" TargetMode="External" Id="rId85" /><Relationship Type="http://schemas.openxmlformats.org/officeDocument/2006/relationships/hyperlink" Target="https://www.sportdog.gr/podosfairo/superleague/737411/o-traymatismos-toy-eliason-ta-katagmata-kai-o-paragwn-psyxologia" TargetMode="External" Id="rId86" /><Relationship Type="http://schemas.openxmlformats.org/officeDocument/2006/relationships/hyperlink" Target="https://www.sportdog.gr/podosfairo/superleague/956761/sok-gia-lisi-paikths-ypesth-rhksh-xiastwn-sto-filiko-me-besterlo" TargetMode="External" Id="rId87" /><Relationship Type="http://schemas.openxmlformats.org/officeDocument/2006/relationships/hyperlink" Target="https://www.sportdog.gr/podosfairo/superleague/912585/traymatisthke-paikths-toy-olympiakoy-ektos-gia-mhnes" TargetMode="External" Id="rId88" /><Relationship Type="http://schemas.openxmlformats.org/officeDocument/2006/relationships/hyperlink" Target="https://www.sportdog.gr/podosfairo/superleague/942109/sok-me-ton-traymatismo-ths-stefatoy-sto-aek-panathhnaikos" TargetMode="External" Id="rId89" /><Relationship Type="http://schemas.openxmlformats.org/officeDocument/2006/relationships/hyperlink" Target="https://www.sportdog.gr/podosfairo/superleague/935344/megalo-plhgma-gia-paok-sobaros-o-traymatismos-toy-pelka" TargetMode="External" Id="rId90" /><Relationship Type="http://schemas.openxmlformats.org/officeDocument/2006/relationships/hyperlink" Target="https://www.sportdog.gr/podosfairo/superleague/938124/apisteyth-plhgh-gia-paok-oi-traymatismoi-24-apoysies-mexri-shmera" TargetMode="External" Id="rId91" /><Relationship Type="http://schemas.openxmlformats.org/officeDocument/2006/relationships/hyperlink" Target="https://www.sportdog.gr/podosfairo/superleague/933426/podosfairisths-toy-panathhnaikoy-pantreythke-paiktria-toy-survivor-fwto" TargetMode="External" Id="rId92" /><Relationship Type="http://schemas.openxmlformats.org/officeDocument/2006/relationships/hyperlink" Target="https://www.sportdog.gr/podosfairo/superleague/895588/pantreythke-o-siwphs-me-koymparo-prwhn-toy-panathhnaikoy-fwto-binteo" TargetMode="External" Id="rId93" /><Relationship Type="http://schemas.openxmlformats.org/officeDocument/2006/relationships/hyperlink" Target="https://www.sportdog.gr/podosfairo/superleague/886379/deyteros-gamos-gia-ton-petro-mantalo-me-thn-panemorfh-xristina-fwto" TargetMode="External" Id="rId94" /><Relationship Type="http://schemas.openxmlformats.org/officeDocument/2006/relationships/hyperlink" Target="https://www.sportdog.gr/podosfairo/superleague/849957/pantreyetai-o-gios-alafoyzoy-pws-egine-apo-olympiakos-hellip-pao-kai-h-syz" TargetMode="External" Id="rId95" /><Relationship Type="http://schemas.openxmlformats.org/officeDocument/2006/relationships/hyperlink" Target="https://www.sportdog.gr/podosfairo/superleague/830425/ntythhke-gampros-o-zibkobits-ayth-einai-h-entypwsiakh-toy-syzygos" TargetMode="External" Id="rId96" /><Relationship Type="http://schemas.openxmlformats.org/officeDocument/2006/relationships/hyperlink" Target="https://www.sportdog.gr/life/showbiz/928590/anastasios-rammos-egine-pateras-gia-prwth-fora" TargetMode="External" Id="rId97" /><Relationship Type="http://schemas.openxmlformats.org/officeDocument/2006/relationships/hyperlink" Target="https://www.sportdog.gr/podosfairo/superleague/955879/to-ldquo-eyxaristw-rdquo-toy-paok-se-ozntoef-ldquo-dikh-mas-xara-rdquo" TargetMode="External" Id="rId98" /><Relationship Type="http://schemas.openxmlformats.org/officeDocument/2006/relationships/hyperlink" Target="https://www.sportdog.gr/podosfairo/superleague/956127/exoyn-sigoyrh-apoxwrhsh-ksenoy-apo-olympiako-etoimos-gia-ispania" TargetMode="External" Id="rId99" /><Relationship Type="http://schemas.openxmlformats.org/officeDocument/2006/relationships/hyperlink" Target="https://www.sportdog.gr/podosfairo/superleague/955254/teleiwnei-paikths-toy-arh-etoimos-na-ypograpsei-sthn-toyrkia" TargetMode="External" Id="rId100" /><Relationship Type="http://schemas.openxmlformats.org/officeDocument/2006/relationships/hyperlink" Target="https://www.sportdog.gr/podosfairo/superleague/929946/kai-trith-hxhrh-apoxwrhsh-ston-panathhnaiko-ekleise-nea-metagrafh-h-aek" TargetMode="External" Id="rId101" /><Relationship Type="http://schemas.openxmlformats.org/officeDocument/2006/relationships/hyperlink" Target="https://www.sportdog.gr/podosfairo/superleague/949235/konta-se-ellhna-termatofylaka-o-olympiakos-diplh-apoxwrhsh-meta-thn-aek" TargetMode="External" Id="rId102" /><Relationship Type="http://schemas.openxmlformats.org/officeDocument/2006/relationships/hyperlink" Target="https://www.sportdog.gr/podosfairo/superleague/956435/neos-traymatismos-ston-paok-ldquo-ponokefaliazei-rdquo-o-lisi" TargetMode="External" Id="rId103" /><Relationship Type="http://schemas.openxmlformats.org/officeDocument/2006/relationships/hyperlink" Target="https://www.sportdog.gr/podosfairo/superleague/943651/otan-eisai-o-pateras-soy" TargetMode="External" Id="rId104" /><Relationship Type="http://schemas.openxmlformats.org/officeDocument/2006/relationships/hyperlink" Target="https://www.sportdog.gr/podosfairo/superleague/895588/pantreythke-o-siwphs-me-koymparo-prwhn-toy-panathhnaikoy-fwto-binteo" TargetMode="External" Id="rId105" /><Relationship Type="http://schemas.openxmlformats.org/officeDocument/2006/relationships/hyperlink" Target="https://www.sportdog.gr/podosfairo/superleague/886379/deyteros-gamos-gia-ton-petro-mantalo-me-thn-panemorfh-xristina-fwto" TargetMode="External" Id="rId106" /><Relationship Type="http://schemas.openxmlformats.org/officeDocument/2006/relationships/hyperlink" Target="https://www.sportdog.gr/podosfairo/superleague/955737/epibebaiwsh-sportdog-kai-oristikes-ekselikseis-me-loytseskoy-to-apofasise" TargetMode="External" Id="rId107" /><Relationship Type="http://schemas.openxmlformats.org/officeDocument/2006/relationships/hyperlink" Target="https://www.sportdog.gr/podosfairo/superleague/954920/blepoyn-apoxwrhsh-ksenoy-apo-ton-paok-se-proxwrhmenes-diapragmateyseis" TargetMode="External" Id="rId108" /><Relationship Type="http://schemas.openxmlformats.org/officeDocument/2006/relationships/hyperlink" Target="https://www.sportdog.gr/podosfairo/superleague/949878/paikths-toy-olympiakoy-ypografei-sthn-mpraiton" TargetMode="External" Id="rId109" /><Relationship Type="http://schemas.openxmlformats.org/officeDocument/2006/relationships/hyperlink" Target="https://www.sportdog.gr/podosfairo/superleague/951179/ofh-ekleise-thn-megalh-epistrofh-mpoyxalakh" TargetMode="External" Id="rId110" /><Relationship Type="http://schemas.openxmlformats.org/officeDocument/2006/relationships/hyperlink" Target="https://www.sportdog.gr/podosfairo/superleague/954792/syzygos-paikth-ths-aek-zestathhke-kai-zestane-toys-followers-ths-fwto" TargetMode="External" Id="rId111" /><Relationship Type="http://schemas.openxmlformats.org/officeDocument/2006/relationships/hyperlink" Target="https://www.sportdog.gr/podosfairo/superleague/864906/gia-prwth-fora-pateras-o-giwrgos-sabbidhs-fwto" TargetMode="External" Id="rId112" /><Relationship Type="http://schemas.openxmlformats.org/officeDocument/2006/relationships/hyperlink" Target="https://www.sportdog.gr/podosfairo/superleague/678846/sok-sobaro-troxaio-atyxhma-gia-ton-aleksh-koygia-dialythhke-to-aytokinhto" TargetMode="External" Id="rId113" /><Relationship Type="http://schemas.openxmlformats.org/officeDocument/2006/relationships/hyperlink" Target="https://www.sportdog.gr/podosfairo/superleague/950288/sobares-ataggelies-giatroy-gia-to-troxaio-toy-marioy-oikonomoy" TargetMode="External" Id="rId114" /><Relationship Type="http://schemas.openxmlformats.org/officeDocument/2006/relationships/hyperlink" Target="https://www.sportdog.gr/podosfairo/superleague/951360/krisimes-wres-gia-ton-mario-oikonomoy-ksekinoyn-test-egkefalikoy-thanatoy" TargetMode="External" Id="rId115" /><Relationship Type="http://schemas.openxmlformats.org/officeDocument/2006/relationships/hyperlink" Target="https://www.sportdog.gr/podosfairo/superleague/951586/kai-o-olympiakos-gia-oikonomoy-ldquo-bathia-h-thlipsh-rdquo" TargetMode="External" Id="rId116" /><Relationship Type="http://schemas.openxmlformats.org/officeDocument/2006/relationships/hyperlink" Target="https://www.sportdog.gr/podosfairo/superleague/951569/nekropsia-gia-ta-aitia-thanatoy-toy-marioy-oikonomoy-psaxnoyn-neoys-martyrs" TargetMode="External" Id="rId1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30" min="1" max="1"/>
    <col width="14" customWidth="1" style="30" min="2" max="3"/>
    <col width="32" customWidth="1" style="30" min="4" max="4"/>
    <col width="36" customWidth="1" style="30" min="5" max="5"/>
    <col width="14" customWidth="1" style="30" min="6" max="6"/>
    <col width="22" customWidth="1" style="30" min="7" max="7"/>
    <col width="20" customWidth="1" style="30" min="8" max="8"/>
    <col width="22" customWidth="1" style="30" min="9" max="9"/>
    <col width="14" customWidth="1" style="30" min="10" max="10"/>
    <col width="16" customWidth="1" style="30" min="11" max="11"/>
    <col width="14" customWidth="1" style="30" min="12" max="12"/>
    <col width="12" customWidth="1" style="30" min="13" max="13"/>
    <col width="16" customWidth="1" style="30" min="14" max="14"/>
    <col width="22" customWidth="1" style="30" min="15" max="16"/>
    <col width="16" customWidth="1" style="30" min="17" max="17"/>
    <col width="30" customWidth="1" style="30" min="18" max="18"/>
    <col width="16" customWidth="1" style="30" min="19" max="26"/>
    <col width="60" customWidth="1" style="30" min="20" max="20"/>
  </cols>
  <sheetData>
    <row r="1" ht="42" customHeight="1" s="30">
      <c r="A1" s="1" t="inlineStr">
        <is>
          <t>article_id</t>
        </is>
      </c>
      <c r="B1" s="1" t="inlineStr">
        <is>
          <t>date_scraped</t>
        </is>
      </c>
      <c r="C1" s="1" t="inlineStr">
        <is>
          <t>source</t>
        </is>
      </c>
      <c r="D1" s="1" t="inlineStr">
        <is>
          <t>article_url</t>
        </is>
      </c>
      <c r="E1" s="1" t="inlineStr">
        <is>
          <t>article_headline</t>
        </is>
      </c>
      <c r="F1" s="1" t="inlineStr">
        <is>
          <t>contains_event</t>
        </is>
      </c>
      <c r="G1" s="1" t="inlineStr">
        <is>
          <t>affected_player</t>
        </is>
      </c>
      <c r="H1" s="1" t="inlineStr">
        <is>
          <t>team</t>
        </is>
      </c>
      <c r="I1" s="1" t="inlineStr">
        <is>
          <t>event_type</t>
        </is>
      </c>
      <c r="J1" s="1" t="inlineStr">
        <is>
          <t>event_date</t>
        </is>
      </c>
      <c r="K1" s="1" t="inlineStr">
        <is>
          <t>event_date_certainty</t>
        </is>
      </c>
      <c r="L1" s="1" t="inlineStr">
        <is>
          <t>severity_1to5</t>
        </is>
      </c>
      <c r="M1" s="1" t="inlineStr">
        <is>
          <t>confidence</t>
        </is>
      </c>
      <c r="N1" s="1" t="inlineStr">
        <is>
          <t>classifier_flagged</t>
        </is>
      </c>
      <c r="O1" s="1" t="inlineStr">
        <is>
          <t>classifier_player</t>
        </is>
      </c>
      <c r="P1" s="1" t="inlineStr">
        <is>
          <t>classifier_event_type</t>
        </is>
      </c>
      <c r="Q1" s="1" t="inlineStr">
        <is>
          <t>match_result</t>
        </is>
      </c>
      <c r="R1" s="1" t="inlineStr">
        <is>
          <t>notes</t>
        </is>
      </c>
      <c r="S1" s="31" t="inlineStr">
        <is>
          <t>valence</t>
        </is>
      </c>
      <c r="T1" s="31" t="inlineStr">
        <is>
          <t>valence_note</t>
        </is>
      </c>
    </row>
    <row r="2" ht="63.75" customHeight="1" s="30">
      <c r="A2" s="2" t="inlineStr">
        <is>
          <t>Unique ID for the article (e.g. A001). You assign this.</t>
        </is>
      </c>
      <c r="B2" s="2" t="inlineStr">
        <is>
          <t>Date you pulled/read the article (YYYY-MM-DD).</t>
        </is>
      </c>
      <c r="C2" s="2" t="inlineStr">
        <is>
          <t>Which outlet: SDNA / Gazzetta / Sportdog.</t>
        </is>
      </c>
      <c r="D2" s="2" t="inlineStr">
        <is>
          <t>Link to the article for traceability.</t>
        </is>
      </c>
      <c r="E2" s="2" t="inlineStr">
        <is>
          <t>Headline or short summary, so you can re-find it.</t>
        </is>
      </c>
      <c r="F2" s="2" t="inlineStr">
        <is>
          <t>YOUR hand label: does this article describe a player-relevant life event? YES / NO.</t>
        </is>
      </c>
      <c r="G2" s="2" t="inlineStr">
        <is>
          <t>If YES: the player the event concerns. Blank if NO.</t>
        </is>
      </c>
      <c r="H2" s="2" t="inlineStr">
        <is>
          <t>Player's club.</t>
        </is>
      </c>
      <c r="I2" s="2" t="inlineStr">
        <is>
          <t>Category: bereavement / injury / contract_dispute / disciplinary / transfer_rumor / public_controversy / return_from_injury / other.</t>
        </is>
      </c>
      <c r="J2" s="2" t="inlineStr">
        <is>
          <t>When the event actually occurred (YYYY-MM-DD), not when reported. Best estimate.</t>
        </is>
      </c>
      <c r="K2" s="2" t="inlineStr">
        <is>
          <t>How sure are you of the date: exact / approximate / unknown.</t>
        </is>
      </c>
      <c r="L2" s="2" t="inlineStr">
        <is>
          <t>Your severity rating, 1 (minor) to 5 (extreme). Grounded in STRAIN-style scoring.</t>
        </is>
      </c>
      <c r="M2" s="2" t="inlineStr">
        <is>
          <t>YOUR confidence this is a real, correctly-attributed event: high / medium / low.</t>
        </is>
      </c>
      <c r="N2" s="2" t="inlineStr">
        <is>
          <t>Did your NLP classifier flag this article as an event? YES / NO. Fill after running classifier.</t>
        </is>
      </c>
      <c r="O2" s="2" t="inlineStr">
        <is>
          <t>Which player the classifier attributed it to. For checking attribution accuracy.</t>
        </is>
      </c>
      <c r="P2" s="2" t="inlineStr">
        <is>
          <t>Event type the classifier assigned. For checking type accuracy.</t>
        </is>
      </c>
      <c r="Q2" s="2" t="inlineStr">
        <is>
          <t>Auto-computed: TP / FP / FN / TN comparing your label vs classifier.</t>
        </is>
      </c>
      <c r="R2" s="2" t="inlineStr">
        <is>
          <t>Anything ambiguous, edge cases, judgment calls.</t>
        </is>
      </c>
    </row>
    <row r="3" ht="15" customHeight="1" s="30">
      <c r="A3" s="8" t="inlineStr">
        <is>
          <t>SDNA001</t>
        </is>
      </c>
      <c r="B3" s="4" t="n">
        <v>46190</v>
      </c>
      <c r="C3" s="8" t="inlineStr">
        <is>
          <t>SDNA</t>
        </is>
      </c>
      <c r="D3" s="5" t="inlineStr">
        <is>
          <t>https://www.sdna.gr/podosfairo/1426838_geremegef-irtha-gia-na-boithiso-sto-skorarisma-den-einai-kati-sobaro-o</t>
        </is>
      </c>
      <c r="E3" s="8" t="inlineStr">
        <is>
          <t>Γερεμέγεφ: «Ήρθα για να βοηθήσω στο σκοράρισμα, δεν είναι κάτι σοβαρό ο τραυματισμός μου» (vid)</t>
        </is>
      </c>
      <c r="F3" s="8" t="inlineStr">
        <is>
          <t>YES</t>
        </is>
      </c>
      <c r="G3" s="8" t="inlineStr">
        <is>
          <t>Alexander Geremeev</t>
        </is>
      </c>
      <c r="H3" s="8" t="inlineStr">
        <is>
          <t>PAOK</t>
        </is>
      </c>
      <c r="I3" s="8" t="inlineStr">
        <is>
          <t>injury</t>
        </is>
      </c>
      <c r="J3" s="4" t="n">
        <v>46144</v>
      </c>
      <c r="K3" s="8" t="inlineStr">
        <is>
          <t>approximate</t>
        </is>
      </c>
      <c r="L3" s="8" t="n">
        <v>2</v>
      </c>
      <c r="M3" s="8" t="inlineStr">
        <is>
          <t>high</t>
        </is>
      </c>
      <c r="N3" s="6" t="n"/>
      <c r="O3" s="6" t="n"/>
      <c r="P3" s="6" t="n"/>
      <c r="Q3" s="13">
        <f>IF(OR($F3="",$N3=""),"",IF(AND($F3="YES",$N3="YES"),"TP",IF(AND($F3="NO",$N3="YES"),"FP",IF(AND($F3="YES",$N3="NO"),"FN","TN"))))</f>
        <v/>
      </c>
      <c r="R3" s="8" t="n"/>
    </row>
    <row r="4" ht="15" customHeight="1" s="30">
      <c r="A4" s="8" t="inlineStr">
        <is>
          <t>SDNA101</t>
        </is>
      </c>
      <c r="B4" s="4" t="n">
        <v>46190</v>
      </c>
      <c r="C4" s="8" t="inlineStr">
        <is>
          <t>SDNA</t>
        </is>
      </c>
      <c r="D4" s="5" t="inlineStr">
        <is>
          <t>https://www.sdna.gr/podosfairo/1386481_sok-ston-panathinaiko-me-ntesers-rixi-tenonta-kai-25-mines-sta-pits</t>
        </is>
      </c>
      <c r="E4" s="8" t="inlineStr">
        <is>
          <t>Σοκ στον Παναθηναϊκό με Ντέσερς, ρήξη τένοντα και 2.5 μήνες στα</t>
        </is>
      </c>
      <c r="F4" s="8" t="inlineStr">
        <is>
          <t>YES</t>
        </is>
      </c>
      <c r="G4" s="8" t="inlineStr">
        <is>
          <t>Cyriel Dessers</t>
        </is>
      </c>
      <c r="H4" s="8" t="inlineStr">
        <is>
          <t>Panathinaikos</t>
        </is>
      </c>
      <c r="I4" s="8" t="inlineStr">
        <is>
          <t>injury</t>
        </is>
      </c>
      <c r="J4" s="4" t="n">
        <v>46021</v>
      </c>
      <c r="K4" s="8" t="inlineStr">
        <is>
          <t>approximate</t>
        </is>
      </c>
      <c r="L4" s="8" t="n">
        <v>4</v>
      </c>
      <c r="M4" s="8" t="inlineStr">
        <is>
          <t>high</t>
        </is>
      </c>
      <c r="N4" s="6" t="n"/>
      <c r="O4" s="6" t="n"/>
      <c r="P4" s="6" t="n"/>
      <c r="Q4" s="13">
        <f>IF(OR($F4="",$N4=""),"",IF(AND($F4="YES",$N4="YES"),"TP",IF(AND($F4="NO",$N4="YES"),"FP",IF(AND($F4="YES",$N4="NO"),"FN","TN"))))</f>
        <v/>
      </c>
      <c r="R4" s="8" t="n"/>
    </row>
    <row r="5" ht="15" customHeight="1" s="30">
      <c r="A5" s="8" t="inlineStr">
        <is>
          <t>SDNA102</t>
        </is>
      </c>
      <c r="B5" s="4" t="n">
        <v>46190</v>
      </c>
      <c r="C5" s="8" t="inlineStr">
        <is>
          <t>SDNA</t>
        </is>
      </c>
      <c r="D5" s="5" t="inlineStr">
        <is>
          <t>https://www.sdna.gr/podosfairo/1327984_aek-fainetai-na-einai-sobaros-o-traymatismos-toy-kaloskami</t>
        </is>
      </c>
      <c r="E5" s="8" t="inlineStr">
        <is>
          <t>ΑΕΚ: Φαίνεται να είναι σοβαρός ο τραυματισμός του Καλοσκάμη</t>
        </is>
      </c>
      <c r="F5" s="8" t="inlineStr">
        <is>
          <t>YES</t>
        </is>
      </c>
      <c r="G5" s="8" t="inlineStr">
        <is>
          <t>Dimitris Kaloskamis</t>
        </is>
      </c>
      <c r="H5" s="8" t="inlineStr">
        <is>
          <t>AEK</t>
        </is>
      </c>
      <c r="I5" s="8" t="inlineStr">
        <is>
          <t>injury</t>
        </is>
      </c>
      <c r="J5" s="4" t="n">
        <v>45842</v>
      </c>
      <c r="K5" s="8" t="inlineStr">
        <is>
          <t>approximate</t>
        </is>
      </c>
      <c r="L5" s="8" t="n">
        <v>4</v>
      </c>
      <c r="M5" s="8" t="inlineStr">
        <is>
          <t>high</t>
        </is>
      </c>
      <c r="N5" s="6" t="n"/>
      <c r="O5" s="6" t="n"/>
      <c r="P5" s="6" t="n"/>
      <c r="Q5" s="13">
        <f>IF(OR($F5="",$N5=""),"",IF(AND($F5="YES",$N5="YES"),"TP",IF(AND($F5="NO",$N5="YES"),"FP",IF(AND($F5="YES",$N5="NO"),"FN","TN"))))</f>
        <v/>
      </c>
      <c r="R5" s="8" t="n"/>
    </row>
    <row r="6" ht="15" customHeight="1" s="30">
      <c r="A6" s="8" t="inlineStr">
        <is>
          <t>SDNA103</t>
        </is>
      </c>
      <c r="B6" s="4" t="n">
        <v>46190</v>
      </c>
      <c r="C6" s="8" t="inlineStr">
        <is>
          <t>SDNA</t>
        </is>
      </c>
      <c r="D6" s="5" t="inlineStr">
        <is>
          <t>https://www.sdna.gr/podosfairo/1417974_o-tsiloylis-epestrepse-stin-agonistiki-drasi-meta-apo-11-mines</t>
        </is>
      </c>
      <c r="E6" s="8" t="inlineStr">
        <is>
          <t>Ο Τσιλούλης επέστρεψε στην αγωνιστική δράση μετά από 11 μήνες!</t>
        </is>
      </c>
      <c r="F6" s="8" t="inlineStr">
        <is>
          <t>YES</t>
        </is>
      </c>
      <c r="G6" s="8" t="inlineStr">
        <is>
          <t>Sotiris Tsiloulis</t>
        </is>
      </c>
      <c r="H6" s="8" t="inlineStr">
        <is>
          <t>Atromitos</t>
        </is>
      </c>
      <c r="I6" s="8" t="inlineStr">
        <is>
          <t>return_from_injury</t>
        </is>
      </c>
      <c r="J6" s="4" t="n">
        <v>46116</v>
      </c>
      <c r="K6" s="8" t="inlineStr">
        <is>
          <t>exact</t>
        </is>
      </c>
      <c r="L6" s="8" t="n">
        <v>3</v>
      </c>
      <c r="M6" s="8" t="inlineStr">
        <is>
          <t>high</t>
        </is>
      </c>
      <c r="N6" s="6" t="n"/>
      <c r="O6" s="6" t="n"/>
      <c r="P6" s="6" t="n"/>
      <c r="Q6" s="13">
        <f>IF(OR($F6="",$N6=""),"",IF(AND($F6="YES",$N6="YES"),"TP",IF(AND($F6="NO",$N6="YES"),"FP",IF(AND($F6="YES",$N6="NO"),"FN","TN"))))</f>
        <v/>
      </c>
      <c r="R6" s="8" t="n"/>
    </row>
    <row r="7" ht="15" customHeight="1" s="30">
      <c r="A7" s="8" t="inlineStr">
        <is>
          <t>SDNA104</t>
        </is>
      </c>
      <c r="B7" s="4" t="n">
        <v>46190</v>
      </c>
      <c r="C7" s="8" t="inlineStr">
        <is>
          <t>SDNA</t>
        </is>
      </c>
      <c r="D7" s="5" t="inlineStr">
        <is>
          <t>https://www.sdna.gr/podosfairo/1134715_karapapas-o-paiktis-den-eihe-traymatismo</t>
        </is>
      </c>
      <c r="E7" s="8" t="inlineStr">
        <is>
          <t>Καραπαπάς: «Ο παίκτης δεν είχε τραυματισμό...»</t>
        </is>
      </c>
      <c r="F7" s="8" t="inlineStr">
        <is>
          <t>YES</t>
        </is>
      </c>
      <c r="G7" s="8" t="inlineStr">
        <is>
          <t>Juankar</t>
        </is>
      </c>
      <c r="H7" s="8" t="inlineStr">
        <is>
          <t>Panathinaikos</t>
        </is>
      </c>
      <c r="I7" s="8" t="inlineStr">
        <is>
          <t>injury</t>
        </is>
      </c>
      <c r="J7" s="4" t="n">
        <v>45221</v>
      </c>
      <c r="K7" s="8" t="inlineStr">
        <is>
          <t>approximate</t>
        </is>
      </c>
      <c r="L7" s="8" t="n">
        <v>3</v>
      </c>
      <c r="M7" s="8" t="inlineStr">
        <is>
          <t>medium</t>
        </is>
      </c>
      <c r="N7" s="6" t="n"/>
      <c r="O7" s="6" t="n"/>
      <c r="P7" s="6" t="n"/>
      <c r="Q7" s="13">
        <f>IF(OR($F7="",$N7=""),"",IF(AND($F7="YES",$N7="YES"),"TP",IF(AND($F7="NO",$N7="YES"),"FP",IF(AND($F7="YES",$N7="NO"),"FN","TN"))))</f>
        <v/>
      </c>
      <c r="R7" s="8" t="n"/>
    </row>
    <row r="8" ht="15" customHeight="1" s="30">
      <c r="A8" s="8" t="inlineStr">
        <is>
          <t>SDNA105</t>
        </is>
      </c>
      <c r="B8" s="4" t="n">
        <v>46190</v>
      </c>
      <c r="C8" s="8" t="inlineStr">
        <is>
          <t>SDNA</t>
        </is>
      </c>
      <c r="D8" s="5" t="inlineStr">
        <is>
          <t>https://www.sdna.gr/podosfairo/879964_ofi-aek-i-apoboli-toy-libai-gkarsia-vid</t>
        </is>
      </c>
      <c r="E8" s="8" t="inlineStr">
        <is>
          <t>ΟΦΗ - ΑΕΚ: Η αποβολή του Λιβάι Γκαρσία (vid)</t>
        </is>
      </c>
      <c r="F8" s="8" t="inlineStr">
        <is>
          <t>YES</t>
        </is>
      </c>
      <c r="G8" s="8" t="inlineStr">
        <is>
          <t>Levi Garcia</t>
        </is>
      </c>
      <c r="H8" s="8" t="inlineStr">
        <is>
          <t>AEK</t>
        </is>
      </c>
      <c r="I8" s="8" t="inlineStr">
        <is>
          <t>disciplinary</t>
        </is>
      </c>
      <c r="J8" s="4" t="n">
        <v>44457</v>
      </c>
      <c r="K8" s="8" t="inlineStr">
        <is>
          <t>exact</t>
        </is>
      </c>
      <c r="L8" s="8" t="n">
        <v>2</v>
      </c>
      <c r="M8" s="8" t="inlineStr">
        <is>
          <t>high</t>
        </is>
      </c>
      <c r="N8" s="6" t="n"/>
      <c r="O8" s="6" t="n"/>
      <c r="P8" s="6" t="n"/>
      <c r="Q8" s="13">
        <f>IF(OR($F8="",$N8=""),"",IF(AND($F8="YES",$N8="YES"),"TP",IF(AND($F8="NO",$N8="YES"),"FP",IF(AND($F8="YES",$N8="NO"),"FN","TN"))))</f>
        <v/>
      </c>
      <c r="R8" s="8" t="n"/>
    </row>
    <row r="9" ht="15" customHeight="1" s="30">
      <c r="A9" s="8" t="inlineStr">
        <is>
          <t>SDNA106</t>
        </is>
      </c>
      <c r="B9" s="4" t="n">
        <v>46190</v>
      </c>
      <c r="C9" s="8" t="inlineStr">
        <is>
          <t>SDNA</t>
        </is>
      </c>
      <c r="D9" s="5" t="inlineStr">
        <is>
          <t>https://www.sdna.gr/podosfairo/929226_aris-aek-syrraxi-ton-paikton-sti-lixi-kai-entona-neyra</t>
        </is>
      </c>
      <c r="E9" s="8" t="inlineStr">
        <is>
          <t>Άρης-ΑΕΚ: Σύρραξη των παικτών στη λήξη και έντονα νεύρα</t>
        </is>
      </c>
      <c r="F9" s="8" t="inlineStr">
        <is>
          <t>YES</t>
        </is>
      </c>
      <c r="G9" s="8" t="inlineStr">
        <is>
          <t>Multiple players Aris &amp; AEK</t>
        </is>
      </c>
      <c r="H9" s="8" t="inlineStr">
        <is>
          <t>Aris; AEK</t>
        </is>
      </c>
      <c r="I9" s="8" t="inlineStr">
        <is>
          <t>public_controversy</t>
        </is>
      </c>
      <c r="J9" s="4" t="n">
        <v>44593</v>
      </c>
      <c r="K9" s="8" t="inlineStr">
        <is>
          <t>exact</t>
        </is>
      </c>
      <c r="L9" s="8" t="n">
        <v>3</v>
      </c>
      <c r="M9" s="8" t="inlineStr">
        <is>
          <t>medium</t>
        </is>
      </c>
      <c r="N9" s="6" t="n"/>
      <c r="O9" s="6" t="n"/>
      <c r="P9" s="6" t="n"/>
      <c r="Q9" s="13">
        <f>IF(OR($F9="",$N9=""),"",IF(AND($F9="YES",$N9="YES"),"TP",IF(AND($F9="NO",$N9="YES"),"FP",IF(AND($F9="YES",$N9="NO"),"FN","TN"))))</f>
        <v/>
      </c>
      <c r="R9" s="8" t="n"/>
    </row>
    <row r="10" ht="15" customHeight="1" s="30">
      <c r="A10" s="8" t="inlineStr">
        <is>
          <t>SDNA107</t>
        </is>
      </c>
      <c r="B10" s="4" t="n">
        <v>46190</v>
      </c>
      <c r="C10" s="8" t="inlineStr">
        <is>
          <t>SDNA</t>
        </is>
      </c>
      <c r="D10" s="5" t="inlineStr">
        <is>
          <t>https://www.sdna.gr/podosfairo/1404588_o-tromaktikos-flebaris-toy-paok-enas-traymatismos-se-kathe-paihnidi-kai-epta</t>
        </is>
      </c>
      <c r="E10" s="8" t="inlineStr">
        <is>
          <t>Ο τρομακτικός Φλεβάρης του ΠΑΟΚ: Ένας τραυματισμός σε κάθε παιχνίδι και επτά...</t>
        </is>
      </c>
      <c r="F10" s="8" t="inlineStr">
        <is>
          <t>YES</t>
        </is>
      </c>
      <c r="G10" s="8" t="inlineStr">
        <is>
          <t>Dimitris Chatzidis</t>
        </is>
      </c>
      <c r="H10" s="8" t="inlineStr">
        <is>
          <t>PAOK</t>
        </is>
      </c>
      <c r="I10" s="8" t="inlineStr">
        <is>
          <t>injury</t>
        </is>
      </c>
      <c r="J10" s="4" t="n">
        <v>46071</v>
      </c>
      <c r="K10" s="8" t="inlineStr">
        <is>
          <t>approximate</t>
        </is>
      </c>
      <c r="L10" s="8" t="n">
        <v>3</v>
      </c>
      <c r="M10" s="8" t="inlineStr">
        <is>
          <t>medium</t>
        </is>
      </c>
      <c r="N10" s="6" t="n"/>
      <c r="O10" s="6" t="n"/>
      <c r="P10" s="6" t="n"/>
      <c r="Q10" s="13">
        <f>IF(OR($F10="",$N10=""),"",IF(AND($F10="YES",$N10="YES"),"TP",IF(AND($F10="NO",$N10="YES"),"FP",IF(AND($F10="YES",$N10="NO"),"FN","TN"))))</f>
        <v/>
      </c>
      <c r="R10" s="8" t="n"/>
    </row>
    <row r="11" ht="15" customHeight="1" s="30">
      <c r="A11" s="8" t="inlineStr">
        <is>
          <t>SDNA201</t>
        </is>
      </c>
      <c r="B11" s="4" t="n">
        <v>46190</v>
      </c>
      <c r="C11" s="8" t="inlineStr">
        <is>
          <t>SDNA</t>
        </is>
      </c>
      <c r="D11" s="5" t="inlineStr">
        <is>
          <t>https://www.sdna.gr/podosfairo/1397114_i-apoboli-toy-petkof-me-10-i-kifisia-vid</t>
        </is>
      </c>
      <c r="E11" s="8" t="inlineStr">
        <is>
          <t>Η αποβολή του Πέτκοφ - Με 10 η Κηφισιά (vid)</t>
        </is>
      </c>
      <c r="F11" s="8" t="inlineStr">
        <is>
          <t>YES</t>
        </is>
      </c>
      <c r="G11" s="8" t="inlineStr">
        <is>
          <t>Georgi Petkov</t>
        </is>
      </c>
      <c r="H11" s="8" t="inlineStr">
        <is>
          <t>Kifisia</t>
        </is>
      </c>
      <c r="I11" s="8" t="inlineStr">
        <is>
          <t>disciplinary</t>
        </is>
      </c>
      <c r="J11" s="4" t="n">
        <v>46054</v>
      </c>
      <c r="K11" s="8" t="inlineStr">
        <is>
          <t>exact</t>
        </is>
      </c>
      <c r="L11" s="8" t="n">
        <v>2</v>
      </c>
      <c r="M11" s="8" t="inlineStr">
        <is>
          <t>high</t>
        </is>
      </c>
      <c r="N11" s="6" t="n"/>
      <c r="O11" s="6" t="n"/>
      <c r="P11" s="6" t="n"/>
      <c r="Q11" s="13" t="n"/>
      <c r="R11" s="8" t="n"/>
    </row>
    <row r="12" ht="15" customHeight="1" s="30">
      <c r="A12" s="8" t="inlineStr">
        <is>
          <t>SDNA202</t>
        </is>
      </c>
      <c r="B12" s="4" t="n">
        <v>46190</v>
      </c>
      <c r="C12" s="8" t="inlineStr">
        <is>
          <t>SDNA</t>
        </is>
      </c>
      <c r="D12" s="5" t="inlineStr">
        <is>
          <t>https://www.sdna.gr/podosfairo/1378716_sok-stin-aek-me-karargyri-ypesti-rixi-prosthioy-hiastoy</t>
        </is>
      </c>
      <c r="E12" s="8" t="inlineStr">
        <is>
          <t>Σοκ στην ΑΕΚ με Καραργύρη, υπέστη ρήξη πρόσθιου χιαστού!</t>
        </is>
      </c>
      <c r="F12" s="8" t="inlineStr">
        <is>
          <t>YES</t>
        </is>
      </c>
      <c r="G12" s="8" t="inlineStr">
        <is>
          <t>Zois Karargyris</t>
        </is>
      </c>
      <c r="H12" s="8" t="inlineStr">
        <is>
          <t>AEK</t>
        </is>
      </c>
      <c r="I12" s="8" t="inlineStr">
        <is>
          <t>injury</t>
        </is>
      </c>
      <c r="J12" s="4" t="n">
        <v>45999</v>
      </c>
      <c r="K12" s="8" t="inlineStr">
        <is>
          <t>approximate</t>
        </is>
      </c>
      <c r="L12" s="8" t="n">
        <v>5</v>
      </c>
      <c r="M12" s="8" t="inlineStr">
        <is>
          <t>high</t>
        </is>
      </c>
      <c r="N12" s="6" t="n"/>
      <c r="O12" s="6" t="n"/>
      <c r="P12" s="6" t="n"/>
      <c r="Q12" s="13">
        <f>IF(OR($F12="",$N12=""),"",IF(AND($F12="YES",$N12="YES"),"TP",IF(AND($F12="NO",$N12="YES"),"FP",IF(AND($F12="YES",$N12="NO"),"FN","TN"))))</f>
        <v/>
      </c>
      <c r="R12" s="8" t="n"/>
    </row>
    <row r="13" ht="15" customHeight="1" s="30">
      <c r="A13" s="8" t="inlineStr">
        <is>
          <t>SDNA203</t>
        </is>
      </c>
      <c r="B13" s="4" t="n">
        <v>46190</v>
      </c>
      <c r="C13" s="8" t="inlineStr">
        <is>
          <t>SDNA</t>
        </is>
      </c>
      <c r="D13" s="5" t="inlineStr">
        <is>
          <t>https://www.sdna.gr/podosfairo/697334_sokaristikos-traymatismos-gia-zose-sa-pics</t>
        </is>
      </c>
      <c r="E13" s="8" t="inlineStr">
        <is>
          <t>Σοκαριστικός τραυματισμός για Ζοσέ Σα! (pics)</t>
        </is>
      </c>
      <c r="F13" s="8" t="inlineStr">
        <is>
          <t>YES</t>
        </is>
      </c>
      <c r="G13" s="8" t="inlineStr">
        <is>
          <t>Jose Sa</t>
        </is>
      </c>
      <c r="H13" s="8" t="inlineStr">
        <is>
          <t>Olympiakos</t>
        </is>
      </c>
      <c r="I13" s="8" t="inlineStr">
        <is>
          <t>injury</t>
        </is>
      </c>
      <c r="J13" s="4" t="n">
        <v>43891</v>
      </c>
      <c r="K13" s="8" t="inlineStr">
        <is>
          <t>exact</t>
        </is>
      </c>
      <c r="L13" s="8" t="n">
        <v>4</v>
      </c>
      <c r="M13" s="8" t="inlineStr">
        <is>
          <t>high</t>
        </is>
      </c>
      <c r="N13" s="6" t="n"/>
      <c r="O13" s="6" t="n"/>
      <c r="P13" s="6" t="n"/>
      <c r="Q13" s="13">
        <f>IF(OR($F13="",$N13=""),"",IF(AND($F13="YES",$N13="YES"),"TP",IF(AND($F13="NO",$N13="YES"),"FP",IF(AND($F13="YES",$N13="NO"),"FN","TN"))))</f>
        <v/>
      </c>
      <c r="R13" s="8" t="n"/>
    </row>
    <row r="14" ht="15" customHeight="1" s="30">
      <c r="A14" s="8" t="inlineStr">
        <is>
          <t>SDNA301</t>
        </is>
      </c>
      <c r="B14" s="4" t="n">
        <v>46190</v>
      </c>
      <c r="C14" s="8" t="inlineStr">
        <is>
          <t>SDNA</t>
        </is>
      </c>
      <c r="D14" s="5" t="inlineStr">
        <is>
          <t>https://www.sdna.gr/podosfairo/762586_o-sobaros-traymatismos-toy-mparientos-sti-sygkroysi-me-ton-krespo-vid</t>
        </is>
      </c>
      <c r="E14" s="8" t="inlineStr">
        <is>
          <t>O σοβαρός τραυματισμός του Μπαριέντος στη σύγκρουση με τον Κρέσπο (vid)</t>
        </is>
      </c>
      <c r="F14" s="8" t="inlineStr">
        <is>
          <t>YES</t>
        </is>
      </c>
      <c r="G14" s="8" t="inlineStr">
        <is>
          <t>Jean Barrientos</t>
        </is>
      </c>
      <c r="H14" s="8" t="inlineStr">
        <is>
          <t>Xanthi</t>
        </is>
      </c>
      <c r="I14" s="8" t="inlineStr">
        <is>
          <t>injury</t>
        </is>
      </c>
      <c r="J14" s="4" t="n">
        <v>44100</v>
      </c>
      <c r="K14" s="8" t="inlineStr">
        <is>
          <t>exact</t>
        </is>
      </c>
      <c r="L14" s="8" t="n">
        <v>4</v>
      </c>
      <c r="M14" s="8" t="inlineStr">
        <is>
          <t>high</t>
        </is>
      </c>
      <c r="N14" s="6" t="n"/>
      <c r="O14" s="6" t="n"/>
      <c r="P14" s="6" t="n"/>
      <c r="Q14" s="13">
        <f>IF(OR($F14="",$N14=""),"",IF(AND($F14="YES",$N14="YES"),"TP",IF(AND($F14="NO",$N14="YES"),"FP",IF(AND($F14="YES",$N14="NO"),"FN","TN"))))</f>
        <v/>
      </c>
      <c r="R14" s="8" t="n"/>
    </row>
    <row r="15" ht="15" customHeight="1" s="30">
      <c r="A15" s="8" t="inlineStr">
        <is>
          <t>SDNA302</t>
        </is>
      </c>
      <c r="B15" s="4" t="n">
        <v>46190</v>
      </c>
      <c r="C15" s="8" t="inlineStr">
        <is>
          <t>SDNA</t>
        </is>
      </c>
      <c r="D15" s="5" t="inlineStr">
        <is>
          <t>https://www.sdna.gr/podosfairo/825770_atromitos-apollon-o-sobaros-traymatismos-toy-harisi-vid</t>
        </is>
      </c>
      <c r="E15" s="8" t="inlineStr">
        <is>
          <t>Ατρόμητος - Απόλλων: Ο σοβαρός τραυματισμός του Χαρίση (vid)</t>
        </is>
      </c>
      <c r="F15" s="8" t="inlineStr">
        <is>
          <t>YES</t>
        </is>
      </c>
      <c r="G15" s="8" t="inlineStr">
        <is>
          <t>Haris Charisis</t>
        </is>
      </c>
      <c r="H15" s="8" t="inlineStr">
        <is>
          <t>Atromitos</t>
        </is>
      </c>
      <c r="I15" s="8" t="inlineStr">
        <is>
          <t>injury</t>
        </is>
      </c>
      <c r="J15" s="4" t="n">
        <v>44289</v>
      </c>
      <c r="K15" s="8" t="inlineStr">
        <is>
          <t>exact</t>
        </is>
      </c>
      <c r="L15" s="8" t="n">
        <v>4</v>
      </c>
      <c r="M15" s="8" t="inlineStr">
        <is>
          <t>high</t>
        </is>
      </c>
      <c r="N15" s="6" t="n"/>
      <c r="O15" s="6" t="n"/>
      <c r="P15" s="6" t="n"/>
      <c r="Q15" s="13">
        <f>IF(OR($F15="",$N15=""),"",IF(AND($F15="YES",$N15="YES"),"TP",IF(AND($F15="NO",$N15="YES"),"FP",IF(AND($F15="YES",$N15="NO"),"FN","TN"))))</f>
        <v/>
      </c>
      <c r="R15" s="8" t="n"/>
    </row>
    <row r="16" ht="15" customHeight="1" s="30">
      <c r="A16" s="8" t="inlineStr">
        <is>
          <t>SDNA303</t>
        </is>
      </c>
      <c r="B16" s="4" t="n">
        <v>46190</v>
      </c>
      <c r="C16" s="8" t="inlineStr">
        <is>
          <t>SDNA</t>
        </is>
      </c>
      <c r="D16" s="5" t="inlineStr">
        <is>
          <t>https://www.sdna.gr/podosfairo/1374012_me-dakrya-apohorise-traymatias-o-tsikinio-vid</t>
        </is>
      </c>
      <c r="E16" s="8" t="inlineStr">
        <is>
          <t>Με δάκρυα αποχώρησε τραυματίας ο Τσικίνιο (vid)</t>
        </is>
      </c>
      <c r="F16" s="8" t="inlineStr">
        <is>
          <t>YES</t>
        </is>
      </c>
      <c r="G16" s="8" t="inlineStr">
        <is>
          <t>Tiquinho Soares</t>
        </is>
      </c>
      <c r="H16" s="8" t="inlineStr">
        <is>
          <t>Olympiakos</t>
        </is>
      </c>
      <c r="I16" s="8" t="inlineStr">
        <is>
          <t>injury</t>
        </is>
      </c>
      <c r="J16" s="4" t="n">
        <v>45986</v>
      </c>
      <c r="K16" s="8" t="inlineStr">
        <is>
          <t>exact</t>
        </is>
      </c>
      <c r="L16" s="8" t="n">
        <v>3</v>
      </c>
      <c r="M16" s="8" t="inlineStr">
        <is>
          <t>high</t>
        </is>
      </c>
      <c r="N16" s="6" t="n"/>
      <c r="O16" s="6" t="n"/>
      <c r="P16" s="6" t="n"/>
      <c r="Q16" s="13">
        <f>IF(OR($F16="",$N16=""),"",IF(AND($F16="YES",$N16="YES"),"TP",IF(AND($F16="NO",$N16="YES"),"FP",IF(AND($F16="YES",$N16="NO"),"FN","TN"))))</f>
        <v/>
      </c>
      <c r="R16" s="8" t="n"/>
    </row>
    <row r="17" ht="15" customHeight="1" s="30">
      <c r="A17" s="8" t="inlineStr">
        <is>
          <t>SDNA304</t>
        </is>
      </c>
      <c r="B17" s="4" t="n">
        <v>46190</v>
      </c>
      <c r="C17" s="8" t="inlineStr">
        <is>
          <t>SDNA</t>
        </is>
      </c>
      <c r="D17" s="5" t="inlineStr">
        <is>
          <t>https://www.sdna.gr/podosfairo/1426350_ofi-horis-treis-kontra-ston-ari</t>
        </is>
      </c>
      <c r="E17" s="8" t="inlineStr">
        <is>
          <t>ΟΦΗ: Χωρίς τρεις κόντρα στον Άρη</t>
        </is>
      </c>
      <c r="F17" s="8" t="inlineStr">
        <is>
          <t>YES</t>
        </is>
      </c>
      <c r="G17" s="8" t="inlineStr">
        <is>
          <t>Nikos Christogeorgos</t>
        </is>
      </c>
      <c r="H17" s="8" t="inlineStr">
        <is>
          <t>OFI</t>
        </is>
      </c>
      <c r="I17" s="8" t="inlineStr">
        <is>
          <t>injury</t>
        </is>
      </c>
      <c r="J17" s="4" t="n">
        <v>46140</v>
      </c>
      <c r="K17" s="8" t="inlineStr">
        <is>
          <t>approximate</t>
        </is>
      </c>
      <c r="L17" s="8" t="n">
        <v>2</v>
      </c>
      <c r="M17" s="8" t="inlineStr">
        <is>
          <t>medium</t>
        </is>
      </c>
      <c r="N17" s="6" t="n"/>
      <c r="O17" s="6" t="n"/>
      <c r="P17" s="6" t="n"/>
      <c r="Q17" s="13">
        <f>IF(OR($F17="",$N17=""),"",IF(AND($F17="YES",$N17="YES"),"TP",IF(AND($F17="NO",$N17="YES"),"FP",IF(AND($F17="YES",$N17="NO"),"FN","TN"))))</f>
        <v/>
      </c>
      <c r="R17" s="8" t="n"/>
    </row>
    <row r="18" ht="15" customHeight="1" s="30">
      <c r="A18" s="8" t="inlineStr">
        <is>
          <t>SDNA305</t>
        </is>
      </c>
      <c r="B18" s="4" t="n">
        <v>46190</v>
      </c>
      <c r="C18" s="8" t="inlineStr">
        <is>
          <t>SDNA</t>
        </is>
      </c>
      <c r="D18" s="5" t="inlineStr">
        <is>
          <t>https://www.sdna.gr/podosfairo/1396291_olympiakos-hanei-aek-kai-pithanotata-panathinaiko-o-pirola</t>
        </is>
      </c>
      <c r="E18" s="8" t="inlineStr">
        <is>
          <t>Ολυμπιακός: Χάνει ΑΕΚ και πιθανότατα Παναθηναϊκό ο Πιρόλα</t>
        </is>
      </c>
      <c r="F18" s="8" t="inlineStr">
        <is>
          <t>YES</t>
        </is>
      </c>
      <c r="G18" s="8" t="inlineStr">
        <is>
          <t>Lorenzo Pirola</t>
        </is>
      </c>
      <c r="H18" s="8" t="inlineStr">
        <is>
          <t>Olympiakos</t>
        </is>
      </c>
      <c r="I18" s="8" t="inlineStr">
        <is>
          <t>injury</t>
        </is>
      </c>
      <c r="J18" s="4" t="n">
        <v>46047</v>
      </c>
      <c r="K18" s="8" t="inlineStr">
        <is>
          <t>approximate</t>
        </is>
      </c>
      <c r="L18" s="8" t="n">
        <v>3</v>
      </c>
      <c r="M18" s="8" t="inlineStr">
        <is>
          <t>high</t>
        </is>
      </c>
      <c r="N18" s="6" t="n"/>
      <c r="O18" s="6" t="n"/>
      <c r="P18" s="6" t="n"/>
      <c r="Q18" s="13">
        <f>IF(OR($F18="",$N18=""),"",IF(AND($F18="YES",$N18="YES"),"TP",IF(AND($F18="NO",$N18="YES"),"FP",IF(AND($F18="YES",$N18="NO"),"FN","TN"))))</f>
        <v/>
      </c>
      <c r="R18" s="8" t="n"/>
    </row>
    <row r="19" ht="15" customHeight="1" s="30">
      <c r="A19" s="8" t="inlineStr">
        <is>
          <t>SDNA401</t>
        </is>
      </c>
      <c r="B19" s="4" t="n">
        <v>46190</v>
      </c>
      <c r="C19" s="8" t="inlineStr">
        <is>
          <t>SDNA</t>
        </is>
      </c>
      <c r="D19" s="5" t="inlineStr">
        <is>
          <t>https://www.sdna.gr/podosfairo/1124921_sok-me-magknoyson-ston-panathinaiko-exi-mines-ektos-me-rixi-prosthioy-hiastoy</t>
        </is>
      </c>
      <c r="E19" s="8" t="inlineStr">
        <is>
          <t>Σοκ με Μάγκνουσον στον Παναθηναϊκό: Εξι μήνες εκτός, με ρήξη πρόσθιου χιαστού</t>
        </is>
      </c>
      <c r="F19" s="8" t="inlineStr">
        <is>
          <t>YES</t>
        </is>
      </c>
      <c r="G19" s="8" t="inlineStr">
        <is>
          <t>Hordur Magnusson</t>
        </is>
      </c>
      <c r="H19" s="8" t="inlineStr">
        <is>
          <t>Panathinaikos</t>
        </is>
      </c>
      <c r="I19" s="8" t="inlineStr">
        <is>
          <t>injury</t>
        </is>
      </c>
      <c r="J19" s="4" t="n">
        <v>45194</v>
      </c>
      <c r="K19" s="8" t="inlineStr">
        <is>
          <t>exact</t>
        </is>
      </c>
      <c r="L19" s="8" t="n">
        <v>5</v>
      </c>
      <c r="M19" s="8" t="inlineStr">
        <is>
          <t>high</t>
        </is>
      </c>
      <c r="N19" s="6" t="n"/>
      <c r="O19" s="6" t="n"/>
      <c r="P19" s="6" t="n"/>
      <c r="Q19" s="13">
        <f>IF(OR($F19="",$N19=""),"",IF(AND($F19="YES",$N19="YES"),"TP",IF(AND($F19="NO",$N19="YES"),"FP",IF(AND($F19="YES",$N19="NO"),"FN","TN"))))</f>
        <v/>
      </c>
      <c r="R19" s="8" t="n"/>
    </row>
    <row r="20" ht="15" customHeight="1" s="30">
      <c r="A20" s="8" t="inlineStr">
        <is>
          <t>SDNA402</t>
        </is>
      </c>
      <c r="B20" s="4" t="n">
        <v>46190</v>
      </c>
      <c r="C20" s="8" t="inlineStr">
        <is>
          <t>SDNA</t>
        </is>
      </c>
      <c r="D20" s="5" t="inlineStr">
        <is>
          <t>https://www.sdna.gr/podosfairo/1372900_aris-sobaros-traymatismos-gia-alfarela</t>
        </is>
      </c>
      <c r="E20" s="8" t="inlineStr">
        <is>
          <t>Άρης: Σοβαρός τραυματισμός για Αλφαρέλα</t>
        </is>
      </c>
      <c r="F20" s="8" t="inlineStr">
        <is>
          <t>YES</t>
        </is>
      </c>
      <c r="G20" s="8" t="inlineStr">
        <is>
          <t>Miguel Alfarela</t>
        </is>
      </c>
      <c r="H20" s="8" t="inlineStr">
        <is>
          <t>Aris</t>
        </is>
      </c>
      <c r="I20" s="8" t="inlineStr">
        <is>
          <t>injury</t>
        </is>
      </c>
      <c r="J20" s="4" t="n">
        <v>45984</v>
      </c>
      <c r="K20" s="8" t="inlineStr">
        <is>
          <t>approximate</t>
        </is>
      </c>
      <c r="L20" s="8" t="n">
        <v>4</v>
      </c>
      <c r="M20" s="8" t="inlineStr">
        <is>
          <t>high</t>
        </is>
      </c>
      <c r="N20" s="6" t="n"/>
      <c r="O20" s="6" t="n"/>
      <c r="P20" s="6" t="n"/>
      <c r="Q20" s="13">
        <f>IF(OR($F20="",$N20=""),"",IF(AND($F20="YES",$N20="YES"),"TP",IF(AND($F20="NO",$N20="YES"),"FP",IF(AND($F20="YES",$N20="NO"),"FN","TN"))))</f>
        <v/>
      </c>
      <c r="R20" s="8" t="n"/>
    </row>
    <row r="21" ht="15" customHeight="1" s="30">
      <c r="A21" s="8" t="inlineStr">
        <is>
          <t>SDNA403</t>
        </is>
      </c>
      <c r="B21" s="4" t="n">
        <v>46190</v>
      </c>
      <c r="C21" s="8" t="inlineStr">
        <is>
          <t>SDNA</t>
        </is>
      </c>
      <c r="D21" s="5" t="inlineStr">
        <is>
          <t>https://www.sdna.gr/podosfairo/986271_sok-ston-ofi-ypesti-rixi-hiastoy-o-gribas</t>
        </is>
      </c>
      <c r="E21" s="8" t="inlineStr">
        <is>
          <t>Σοκ στον ΟΦΗ: Υπέστη ρήξη χιαστού ο Γρίβας</t>
        </is>
      </c>
      <c r="F21" s="8" t="inlineStr">
        <is>
          <t>YES</t>
        </is>
      </c>
      <c r="G21" s="8" t="inlineStr">
        <is>
          <t>Froixos Grivas</t>
        </is>
      </c>
      <c r="H21" s="8" t="inlineStr">
        <is>
          <t>OFI</t>
        </is>
      </c>
      <c r="I21" s="8" t="inlineStr">
        <is>
          <t>injury</t>
        </is>
      </c>
      <c r="J21" s="4" t="n">
        <v>44760</v>
      </c>
      <c r="K21" s="8" t="inlineStr">
        <is>
          <t>exact</t>
        </is>
      </c>
      <c r="L21" s="8" t="n">
        <v>5</v>
      </c>
      <c r="M21" s="8" t="inlineStr">
        <is>
          <t>high</t>
        </is>
      </c>
      <c r="N21" s="6" t="n"/>
      <c r="O21" s="6" t="n"/>
      <c r="P21" s="6" t="n"/>
      <c r="Q21" s="13">
        <f>IF(OR($F21="",$N21=""),"",IF(AND($F21="YES",$N21="YES"),"TP",IF(AND($F21="NO",$N21="YES"),"FP",IF(AND($F21="YES",$N21="NO"),"FN","TN"))))</f>
        <v/>
      </c>
      <c r="R21" s="8" t="n"/>
    </row>
    <row r="22" ht="15" customHeight="1" s="30">
      <c r="A22" s="8" t="inlineStr">
        <is>
          <t>SDNA404</t>
        </is>
      </c>
      <c r="B22" s="4" t="n">
        <v>46190</v>
      </c>
      <c r="C22" s="8" t="inlineStr">
        <is>
          <t>SDNA</t>
        </is>
      </c>
      <c r="D22" s="5" t="inlineStr">
        <is>
          <t>https://www.sdna.gr/podosfairo/1331487_panathinaikos-atyhia-gia-kyriopoylo-foboi-gia-rixi-hiastoy</t>
        </is>
      </c>
      <c r="E22" s="8" t="inlineStr">
        <is>
          <t>Παναθηναϊκός: Ατυχία για Κυριόπουλο, φόβοι για ρήξη χιαστού</t>
        </is>
      </c>
      <c r="F22" s="8" t="inlineStr">
        <is>
          <t>YES</t>
        </is>
      </c>
      <c r="G22" s="8" t="inlineStr">
        <is>
          <t>Giorgos Kyriopoulos</t>
        </is>
      </c>
      <c r="H22" s="8" t="inlineStr">
        <is>
          <t>Panathinaikos</t>
        </is>
      </c>
      <c r="I22" s="8" t="inlineStr">
        <is>
          <t>injury</t>
        </is>
      </c>
      <c r="J22" s="4" t="n">
        <v>45855</v>
      </c>
      <c r="K22" s="8" t="inlineStr">
        <is>
          <t>exact</t>
        </is>
      </c>
      <c r="L22" s="8" t="n">
        <v>4</v>
      </c>
      <c r="M22" s="8" t="inlineStr">
        <is>
          <t>medium</t>
        </is>
      </c>
      <c r="N22" s="6" t="n"/>
      <c r="O22" s="6" t="n"/>
      <c r="P22" s="6" t="n"/>
      <c r="Q22" s="13">
        <f>IF(OR($F22="",$N22=""),"",IF(AND($F22="YES",$N22="YES"),"TP",IF(AND($F22="NO",$N22="YES"),"FP",IF(AND($F22="YES",$N22="NO"),"FN","TN"))))</f>
        <v/>
      </c>
      <c r="R22" s="8" t="n"/>
    </row>
    <row r="23" ht="15" customHeight="1" s="30">
      <c r="A23" s="8" t="inlineStr">
        <is>
          <t>SDNA405</t>
        </is>
      </c>
      <c r="B23" s="4" t="n">
        <v>46190</v>
      </c>
      <c r="C23" s="8" t="inlineStr">
        <is>
          <t>SDNA</t>
        </is>
      </c>
      <c r="D23" s="5" t="inlineStr">
        <is>
          <t>https://www.sdna.gr/podosfairo/1399296_traymatismos-kai-anagkastiki-allagi-gia-soyrli-kai-mayria-vid</t>
        </is>
      </c>
      <c r="E23" s="8" t="inlineStr">
        <is>
          <t>Τραυματισμός και αναγκαστική αλλαγή για Σουρλή και Μαυρία (vid)</t>
        </is>
      </c>
      <c r="F23" s="8" t="inlineStr">
        <is>
          <t>YES</t>
        </is>
      </c>
      <c r="G23" s="8" t="inlineStr">
        <is>
          <t>Christos Sourlis</t>
        </is>
      </c>
      <c r="H23" s="8" t="inlineStr">
        <is>
          <t>AEL</t>
        </is>
      </c>
      <c r="I23" s="8" t="inlineStr">
        <is>
          <t>injury</t>
        </is>
      </c>
      <c r="J23" s="4" t="n">
        <v>46059</v>
      </c>
      <c r="K23" s="8" t="inlineStr">
        <is>
          <t>exact</t>
        </is>
      </c>
      <c r="L23" s="8" t="n">
        <v>2</v>
      </c>
      <c r="M23" s="8" t="inlineStr">
        <is>
          <t>medium</t>
        </is>
      </c>
      <c r="N23" s="6" t="n"/>
      <c r="O23" s="6" t="n"/>
      <c r="P23" s="6" t="n"/>
      <c r="Q23" s="13">
        <f>IF(OR($F23="",$N23=""),"",IF(AND($F23="YES",$N23="YES"),"TP",IF(AND($F23="NO",$N23="YES"),"FP",IF(AND($F23="YES",$N23="NO"),"FN","TN"))))</f>
        <v/>
      </c>
      <c r="R23" s="8" t="n"/>
    </row>
    <row r="24" ht="15" customHeight="1" s="30">
      <c r="A24" s="8" t="inlineStr">
        <is>
          <t>SDNA406</t>
        </is>
      </c>
      <c r="B24" s="4" t="n">
        <v>46190</v>
      </c>
      <c r="C24" s="8" t="inlineStr">
        <is>
          <t>SDNA</t>
        </is>
      </c>
      <c r="D24" s="5" t="inlineStr">
        <is>
          <t>https://www.sdna.gr/podosfairo/1399296_traymatismos-kai-anagkastiki-allagi-gia-soyrli-kai-mayria-vid</t>
        </is>
      </c>
      <c r="E24" s="8" t="inlineStr">
        <is>
          <t>Τραυματισμός και αναγκαστική αλλαγή για Σουρλή και Μαυρία (vid)</t>
        </is>
      </c>
      <c r="F24" s="8" t="inlineStr">
        <is>
          <t>YES</t>
        </is>
      </c>
      <c r="G24" s="8" t="inlineStr">
        <is>
          <t>Haris Mavrias</t>
        </is>
      </c>
      <c r="H24" s="8" t="inlineStr">
        <is>
          <t>Panetolikos</t>
        </is>
      </c>
      <c r="I24" s="8" t="inlineStr">
        <is>
          <t>injury</t>
        </is>
      </c>
      <c r="J24" s="4" t="n">
        <v>46059</v>
      </c>
      <c r="K24" s="8" t="inlineStr">
        <is>
          <t>exact</t>
        </is>
      </c>
      <c r="L24" s="8" t="n">
        <v>2</v>
      </c>
      <c r="M24" s="8" t="inlineStr">
        <is>
          <t>medium</t>
        </is>
      </c>
      <c r="N24" s="6" t="n"/>
      <c r="O24" s="6" t="n"/>
      <c r="P24" s="6" t="n"/>
      <c r="Q24" s="13">
        <f>IF(OR($F24="",$N24=""),"",IF(AND($F24="YES",$N24="YES"),"TP",IF(AND($F24="NO",$N24="YES"),"FP",IF(AND($F24="YES",$N24="NO"),"FN","TN"))))</f>
        <v/>
      </c>
      <c r="R24" s="8" t="n"/>
    </row>
    <row r="25" ht="15" customHeight="1" s="30">
      <c r="A25" s="8" t="inlineStr">
        <is>
          <t>SDNA501</t>
        </is>
      </c>
      <c r="B25" s="4" t="n">
        <v>46190</v>
      </c>
      <c r="C25" s="8" t="inlineStr">
        <is>
          <t>SDNA</t>
        </is>
      </c>
      <c r="D25" s="5" t="inlineStr">
        <is>
          <t>https://www.sdna.gr/podosfairo/786419_apohorise-traymatias-o-ntregker-sti-thesi-toy-o-rantzelobits-vid?amp</t>
        </is>
      </c>
      <c r="E25" s="8" t="inlineStr">
        <is>
          <t>Αποχώρησε τραυματίας ο Ντρέγκερ, στη θέση του ο Ραντζέλοβιτς (vid)</t>
        </is>
      </c>
      <c r="F25" s="8" t="inlineStr">
        <is>
          <t>YES</t>
        </is>
      </c>
      <c r="G25" s="8" t="inlineStr">
        <is>
          <t>Mohamed Dräger</t>
        </is>
      </c>
      <c r="H25" s="8" t="inlineStr">
        <is>
          <t>Olympiakos</t>
        </is>
      </c>
      <c r="I25" s="8" t="inlineStr">
        <is>
          <t>injury</t>
        </is>
      </c>
      <c r="J25" s="4" t="n">
        <v>44170</v>
      </c>
      <c r="K25" s="8" t="inlineStr">
        <is>
          <t>exact</t>
        </is>
      </c>
      <c r="L25" s="8" t="n">
        <v>2</v>
      </c>
      <c r="M25" s="8" t="inlineStr">
        <is>
          <t>high</t>
        </is>
      </c>
      <c r="N25" s="6" t="n"/>
      <c r="O25" s="6" t="n"/>
      <c r="P25" s="6" t="n"/>
      <c r="Q25" s="13">
        <f>IF(OR($F25="",$N25=""),"",IF(AND($F25="YES",$N25="YES"),"TP",IF(AND($F25="NO",$N25="YES"),"FP",IF(AND($F25="YES",$N25="NO"),"FN","TN"))))</f>
        <v/>
      </c>
      <c r="R25" s="8" t="n"/>
    </row>
    <row r="26" ht="15" customHeight="1" s="30">
      <c r="A26" s="8" t="inlineStr">
        <is>
          <t>SDNA502</t>
        </is>
      </c>
      <c r="B26" s="4" t="n">
        <v>46190</v>
      </c>
      <c r="C26" s="8" t="inlineStr">
        <is>
          <t>SDNA</t>
        </is>
      </c>
      <c r="D26" s="5" t="inlineStr">
        <is>
          <t>https://www.sdna.gr/podosfairo/1428262_sok-me-giazitsi-ston-olympiako-ypesti-rixi-hiastoy</t>
        </is>
      </c>
      <c r="E26" s="8" t="inlineStr">
        <is>
          <t>ΣΟΚ με Γιαζίτσι στον Ολυμπιακό: Υπέστη ρήξη χιαστού</t>
        </is>
      </c>
      <c r="F26" s="8" t="inlineStr">
        <is>
          <t>YES</t>
        </is>
      </c>
      <c r="G26" s="8" t="inlineStr">
        <is>
          <t>Yusuf Yazici</t>
        </is>
      </c>
      <c r="H26" s="8" t="inlineStr">
        <is>
          <t>Olympiakos</t>
        </is>
      </c>
      <c r="I26" s="8" t="inlineStr">
        <is>
          <t>injury</t>
        </is>
      </c>
      <c r="J26" s="4" t="n">
        <v>46149</v>
      </c>
      <c r="K26" s="8" t="inlineStr">
        <is>
          <t>exact</t>
        </is>
      </c>
      <c r="L26" s="8" t="n">
        <v>5</v>
      </c>
      <c r="M26" s="8" t="inlineStr">
        <is>
          <t>high</t>
        </is>
      </c>
      <c r="N26" s="6" t="n"/>
      <c r="O26" s="6" t="n"/>
      <c r="P26" s="6" t="n"/>
      <c r="Q26" s="13">
        <f>IF(OR($F26="",$N26=""),"",IF(AND($F26="YES",$N26="YES"),"TP",IF(AND($F26="NO",$N26="YES"),"FP",IF(AND($F26="YES",$N26="NO"),"FN","TN"))))</f>
        <v/>
      </c>
      <c r="R26" s="8" t="n"/>
    </row>
    <row r="27" ht="15" customHeight="1" s="30">
      <c r="A27" s="8" t="inlineStr">
        <is>
          <t>SDNA503</t>
        </is>
      </c>
      <c r="B27" s="4" t="n">
        <v>46190</v>
      </c>
      <c r="C27" s="8" t="inlineStr">
        <is>
          <t>SDNA</t>
        </is>
      </c>
      <c r="D27" s="5" t="inlineStr">
        <is>
          <t>https://www.sdna.gr/podosfairo/1431679_sok-ston-panserraiko-me-tsaoysi-ypesti-rixi-hiaston</t>
        </is>
      </c>
      <c r="E27" s="8" t="inlineStr">
        <is>
          <t>Σοκ στον Πανσερραϊκό με Τσαούση: Υπέστη ρήξη χιαστών!</t>
        </is>
      </c>
      <c r="F27" s="8" t="inlineStr">
        <is>
          <t>YES</t>
        </is>
      </c>
      <c r="G27" s="8" t="inlineStr">
        <is>
          <t>Mario Tsaousis</t>
        </is>
      </c>
      <c r="H27" s="8" t="inlineStr">
        <is>
          <t>Panserraikos</t>
        </is>
      </c>
      <c r="I27" s="8" t="inlineStr">
        <is>
          <t>injury</t>
        </is>
      </c>
      <c r="J27" s="4" t="n">
        <v>46160</v>
      </c>
      <c r="K27" s="8" t="inlineStr">
        <is>
          <t>exact</t>
        </is>
      </c>
      <c r="L27" s="8" t="n">
        <v>5</v>
      </c>
      <c r="M27" s="8" t="inlineStr">
        <is>
          <t>high</t>
        </is>
      </c>
      <c r="N27" s="6" t="n"/>
      <c r="O27" s="6" t="n"/>
      <c r="P27" s="6" t="n"/>
      <c r="Q27" s="13">
        <f>IF(OR($F27="",$N27=""),"",IF(AND($F27="YES",$N27="YES"),"TP",IF(AND($F27="NO",$N27="YES"),"FP",IF(AND($F27="YES",$N27="NO"),"FN","TN"))))</f>
        <v/>
      </c>
      <c r="R27" s="8" t="n"/>
    </row>
    <row r="28" ht="15" customHeight="1" s="30">
      <c r="A28" s="8" t="inlineStr">
        <is>
          <t>SDNA504</t>
        </is>
      </c>
      <c r="B28" s="4" t="n">
        <v>46190</v>
      </c>
      <c r="C28" s="8" t="inlineStr">
        <is>
          <t>SDNA</t>
        </is>
      </c>
      <c r="D28" s="5" t="inlineStr">
        <is>
          <t>https://www.sdna.gr/podosfairo/1402496_symfonoyn-ked-kai-paratiritis-adiki-i-apoboli-toy-lebadeiakoy-me-olympiako</t>
        </is>
      </c>
      <c r="E28" s="8" t="inlineStr">
        <is>
          <t>Συμφωνούν ΚΕΔ και παρατηρητής: Άδικη η αποβολή του Λεβαδειακού με Ολυμπιακό</t>
        </is>
      </c>
      <c r="F28" s="8" t="inlineStr">
        <is>
          <t>YES</t>
        </is>
      </c>
      <c r="G28" s="8" t="inlineStr">
        <is>
          <t>Alen Ozbolt</t>
        </is>
      </c>
      <c r="H28" s="8" t="inlineStr">
        <is>
          <t>Levadeiakos</t>
        </is>
      </c>
      <c r="I28" s="8" t="inlineStr">
        <is>
          <t>disciplinary</t>
        </is>
      </c>
      <c r="J28" s="4" t="n">
        <v>46069</v>
      </c>
      <c r="K28" s="8" t="inlineStr">
        <is>
          <t>approximate</t>
        </is>
      </c>
      <c r="L28" s="8" t="n">
        <v>2</v>
      </c>
      <c r="M28" s="8" t="inlineStr">
        <is>
          <t>low</t>
        </is>
      </c>
      <c r="N28" s="6" t="n"/>
      <c r="O28" s="6" t="n"/>
      <c r="P28" s="6" t="n"/>
      <c r="Q28" s="13">
        <f>IF(OR($F28="",$N28=""),"",IF(AND($F28="YES",$N28="YES"),"TP",IF(AND($F28="NO",$N28="YES"),"FP",IF(AND($F28="YES",$N28="NO"),"FN","TN"))))</f>
        <v/>
      </c>
      <c r="R28" s="8" t="n"/>
    </row>
    <row r="29" ht="15" customHeight="1" s="30">
      <c r="A29" s="8" t="inlineStr">
        <is>
          <t>SDNA505</t>
        </is>
      </c>
      <c r="B29" s="4" t="n">
        <v>46190</v>
      </c>
      <c r="C29" s="8" t="inlineStr">
        <is>
          <t>SDNA</t>
        </is>
      </c>
      <c r="D29" s="5" t="inlineStr">
        <is>
          <t>https://www.sdna.gr/podosfairo/1426830_me-10-paiktes-sto-ntermpi-o-panathinaikos-ystera-apo-apoboli-toy-ernanteth-vid</t>
        </is>
      </c>
      <c r="E29" s="8" t="inlineStr">
        <is>
          <t>Με 10 παίκτες στο ντέρμπι ο Παναθηναϊκός ύστερα από αποβολή του Ερνάντεθ (vid)</t>
        </is>
      </c>
      <c r="F29" s="8" t="inlineStr">
        <is>
          <t>YES</t>
        </is>
      </c>
      <c r="G29" s="8" t="inlineStr">
        <is>
          <t>Javi Hernandez</t>
        </is>
      </c>
      <c r="H29" s="8" t="inlineStr">
        <is>
          <t>Panathinaikos</t>
        </is>
      </c>
      <c r="I29" s="8" t="inlineStr">
        <is>
          <t>disciplinary</t>
        </is>
      </c>
      <c r="J29" s="4" t="n">
        <v>46144</v>
      </c>
      <c r="K29" s="8" t="inlineStr">
        <is>
          <t>exact</t>
        </is>
      </c>
      <c r="L29" s="8" t="n">
        <v>2</v>
      </c>
      <c r="M29" s="8" t="inlineStr">
        <is>
          <t>high</t>
        </is>
      </c>
      <c r="N29" s="6" t="n"/>
      <c r="O29" s="6" t="n"/>
      <c r="P29" s="6" t="n"/>
      <c r="Q29" s="13">
        <f>IF(OR($F29="",$N29=""),"",IF(AND($F29="YES",$N29="YES"),"TP",IF(AND($F29="NO",$N29="YES"),"FP",IF(AND($F29="YES",$N29="NO"),"FN","TN"))))</f>
        <v/>
      </c>
      <c r="R29" s="8" t="n"/>
    </row>
    <row r="30" ht="15" customHeight="1" s="30">
      <c r="A30" s="8" t="inlineStr">
        <is>
          <t>SDNA601</t>
        </is>
      </c>
      <c r="B30" s="4" t="n">
        <v>46190</v>
      </c>
      <c r="C30" s="8" t="inlineStr">
        <is>
          <t>SDNA</t>
        </is>
      </c>
      <c r="D30" s="5" t="inlineStr">
        <is>
          <t>https://www.sdna.gr/podosfairo/929196_exallos-me-tin-apoboli-toy-o-bigiafanies-den-ton-akoympisa-kan-einai-ntropi?amp</t>
        </is>
      </c>
      <c r="E30" s="8" t="inlineStr">
        <is>
          <t>Έξαλλος με την αποβολή του ο Βιγιαφάνιες: «Δεν τον ακούμπησα καν - Είναι ντροπή»!</t>
        </is>
      </c>
      <c r="F30" s="8" t="inlineStr">
        <is>
          <t>YES</t>
        </is>
      </c>
      <c r="G30" s="8" t="inlineStr">
        <is>
          <t>Lucas Villafañes</t>
        </is>
      </c>
      <c r="H30" s="8" t="inlineStr">
        <is>
          <t>Panathinaikos</t>
        </is>
      </c>
      <c r="I30" s="8" t="inlineStr">
        <is>
          <t>disciplinary</t>
        </is>
      </c>
      <c r="J30" s="4" t="n">
        <v>44594</v>
      </c>
      <c r="K30" s="8" t="inlineStr">
        <is>
          <t>exact</t>
        </is>
      </c>
      <c r="L30" s="8" t="n">
        <v>2</v>
      </c>
      <c r="M30" s="8" t="inlineStr">
        <is>
          <t>high</t>
        </is>
      </c>
      <c r="N30" s="6" t="n"/>
      <c r="O30" s="6" t="n"/>
      <c r="P30" s="6" t="n"/>
      <c r="Q30" s="13">
        <f>IF(OR($F30="",$N30=""),"",IF(AND($F30="YES",$N30="YES"),"TP",IF(AND($F30="NO",$N30="YES"),"FP",IF(AND($F30="YES",$N30="NO"),"FN","TN"))))</f>
        <v/>
      </c>
      <c r="R30" s="8" t="n"/>
    </row>
    <row r="31" ht="15" customHeight="1" s="30">
      <c r="A31" s="8" t="inlineStr">
        <is>
          <t>SDNA602</t>
        </is>
      </c>
      <c r="B31" s="4" t="n">
        <v>46190</v>
      </c>
      <c r="C31" s="8" t="inlineStr">
        <is>
          <t>SDNA</t>
        </is>
      </c>
      <c r="D31" s="5" t="inlineStr">
        <is>
          <t>https://www.sdna.gr/podosfairo/1438986_kalogeropoylos-olympiake-se-eyharisto-gia-oles-tis-magikes-stigmes-pics</t>
        </is>
      </c>
      <c r="E31" s="8" t="inlineStr">
        <is>
          <t>Καλογερόπουλος: «Ολυμπιακέ σε ευχαριστώ για όλες τις μαγικές στιγμές» (pics)</t>
        </is>
      </c>
      <c r="F31" s="8" t="inlineStr">
        <is>
          <t>YES</t>
        </is>
      </c>
      <c r="G31" s="8" t="inlineStr">
        <is>
          <t>Alexis Kalogeropoulos</t>
        </is>
      </c>
      <c r="H31" s="8" t="inlineStr">
        <is>
          <t>Olympiakos</t>
        </is>
      </c>
      <c r="I31" s="8" t="inlineStr">
        <is>
          <t>transfer_rumor</t>
        </is>
      </c>
      <c r="J31" s="4" t="n">
        <v>46184</v>
      </c>
      <c r="K31" s="8" t="inlineStr">
        <is>
          <t>exact</t>
        </is>
      </c>
      <c r="L31" s="8" t="n">
        <v>2</v>
      </c>
      <c r="M31" s="8" t="inlineStr">
        <is>
          <t>high</t>
        </is>
      </c>
      <c r="N31" s="6" t="n"/>
      <c r="O31" s="6" t="n"/>
      <c r="P31" s="6" t="n"/>
      <c r="Q31" s="13">
        <f>IF(OR($F31="",$N31=""),"",IF(AND($F31="YES",$N31="YES"),"TP",IF(AND($F31="NO",$N31="YES"),"FP",IF(AND($F31="YES",$N31="NO"),"FN","TN"))))</f>
        <v/>
      </c>
      <c r="R31" s="8" t="n"/>
    </row>
    <row r="32" ht="15" customHeight="1" s="30">
      <c r="A32" s="8" t="inlineStr">
        <is>
          <t>SDNA603</t>
        </is>
      </c>
      <c r="B32" s="4" t="n">
        <v>46190</v>
      </c>
      <c r="C32" s="8" t="inlineStr">
        <is>
          <t>SDNA</t>
        </is>
      </c>
      <c r="D32" s="5" t="inlineStr">
        <is>
          <t>https://www.sdna.gr/podosfairo/1438804_asteras-aktor-parelthon-o-mitrobits-poy-paei-boibontina</t>
        </is>
      </c>
      <c r="E32" s="8" t="inlineStr">
        <is>
          <t>Αστέρας Aktor: Παρελθόν ο Μίτροβιτς που πάει Βοϊβοντίνα</t>
        </is>
      </c>
      <c r="F32" s="8" t="inlineStr">
        <is>
          <t>YES</t>
        </is>
      </c>
      <c r="G32" s="8" t="inlineStr">
        <is>
          <t>Stefan Mitrovic</t>
        </is>
      </c>
      <c r="H32" s="8" t="inlineStr">
        <is>
          <t>Asteras Aktor</t>
        </is>
      </c>
      <c r="I32" s="8" t="inlineStr">
        <is>
          <t>transfer_rumor</t>
        </is>
      </c>
      <c r="J32" s="4" t="n">
        <v>46184</v>
      </c>
      <c r="K32" s="8" t="inlineStr">
        <is>
          <t>exact</t>
        </is>
      </c>
      <c r="L32" s="8" t="n">
        <v>2</v>
      </c>
      <c r="M32" s="8" t="inlineStr">
        <is>
          <t>high</t>
        </is>
      </c>
      <c r="N32" s="6" t="n"/>
      <c r="O32" s="6" t="n"/>
      <c r="P32" s="6" t="n"/>
      <c r="Q32" s="13">
        <f>IF(OR($F32="",$N32=""),"",IF(AND($F32="YES",$N32="YES"),"TP",IF(AND($F32="NO",$N32="YES"),"FP",IF(AND($F32="YES",$N32="NO"),"FN","TN"))))</f>
        <v/>
      </c>
      <c r="R32" s="8" t="n"/>
    </row>
    <row r="33" ht="15" customHeight="1" s="30">
      <c r="A33" s="8" t="inlineStr">
        <is>
          <t>SDNA701</t>
        </is>
      </c>
      <c r="B33" s="4" t="n">
        <v>46190</v>
      </c>
      <c r="C33" s="8" t="inlineStr">
        <is>
          <t>SDNA</t>
        </is>
      </c>
      <c r="D33" s="5" t="inlineStr">
        <is>
          <t>https://www.sdna.gr/podosfairo/858145_olympiakos-penthos-gia-ton-abraam-papadopoylo-ehase-ton-patera-toy</t>
        </is>
      </c>
      <c r="E33" s="8" t="inlineStr">
        <is>
          <t>Ολυμπιακός: Πένθος για τον Αβραάμ Παπαδόπουλο, έχασε τον πατέρα του</t>
        </is>
      </c>
      <c r="F33" s="8" t="inlineStr">
        <is>
          <t>YES</t>
        </is>
      </c>
      <c r="G33" s="8" t="inlineStr">
        <is>
          <t>Avraam Papadopoulos</t>
        </is>
      </c>
      <c r="H33" s="8" t="inlineStr">
        <is>
          <t>Olympiakos</t>
        </is>
      </c>
      <c r="I33" s="8" t="inlineStr">
        <is>
          <t>bereavement</t>
        </is>
      </c>
      <c r="J33" s="4" t="n">
        <v>44388</v>
      </c>
      <c r="K33" s="8" t="inlineStr">
        <is>
          <t>exact</t>
        </is>
      </c>
      <c r="L33" s="8" t="n">
        <v>5</v>
      </c>
      <c r="M33" s="8" t="inlineStr">
        <is>
          <t>high</t>
        </is>
      </c>
      <c r="N33" s="6" t="n"/>
      <c r="O33" s="6" t="n"/>
      <c r="P33" s="6" t="n"/>
      <c r="Q33" s="13">
        <f>IF(OR($F33="",$N33=""),"",IF(AND($F33="YES",$N33="YES"),"TP",IF(AND($F33="NO",$N33="YES"),"FP",IF(AND($F33="YES",$N33="NO"),"FN","TN"))))</f>
        <v/>
      </c>
      <c r="R33" s="8" t="n"/>
    </row>
    <row r="34" ht="15" customHeight="1" s="30">
      <c r="A34" s="8" t="inlineStr">
        <is>
          <t>SDNA702</t>
        </is>
      </c>
      <c r="B34" s="4" t="n">
        <v>46190</v>
      </c>
      <c r="C34" s="8" t="inlineStr">
        <is>
          <t>SDNA</t>
        </is>
      </c>
      <c r="D34" s="5" t="inlineStr">
        <is>
          <t>https://www.sdna.gr/podosfairo/1184849_ntespontof-afieromeni-i-niki-se-papen-kai-mihailidi</t>
        </is>
      </c>
      <c r="E34" s="8" t="inlineStr">
        <is>
          <t>Ντεσπόντοφ: «Αφιερωμένη η νίκη σε Παπέν και Μιχαηλίδη»</t>
        </is>
      </c>
      <c r="F34" s="8" t="inlineStr">
        <is>
          <t>YES</t>
        </is>
      </c>
      <c r="G34" s="8" t="inlineStr">
        <is>
          <t>Kiril Despodov</t>
        </is>
      </c>
      <c r="H34" s="8" t="inlineStr">
        <is>
          <t>PAOK</t>
        </is>
      </c>
      <c r="I34" s="8" t="inlineStr">
        <is>
          <t>bereavement</t>
        </is>
      </c>
      <c r="J34" s="4" t="n">
        <v>45382</v>
      </c>
      <c r="K34" s="8" t="inlineStr">
        <is>
          <t>approximate</t>
        </is>
      </c>
      <c r="L34" s="8" t="n">
        <v>5</v>
      </c>
      <c r="M34" s="8" t="inlineStr">
        <is>
          <t>medium</t>
        </is>
      </c>
      <c r="N34" s="6" t="n"/>
      <c r="O34" s="6" t="n"/>
      <c r="P34" s="6" t="n"/>
      <c r="Q34" s="13">
        <f>IF(OR($F34="",$N34=""),"",IF(AND($F34="YES",$N34="YES"),"TP",IF(AND($F34="NO",$N34="YES"),"FP",IF(AND($F34="YES",$N34="NO"),"FN","TN"))))</f>
        <v/>
      </c>
      <c r="R34" s="8" t="n"/>
    </row>
    <row r="35" ht="15" customHeight="1" s="30">
      <c r="A35" s="8" t="inlineStr">
        <is>
          <t>SDNA801</t>
        </is>
      </c>
      <c r="B35" s="4" t="n">
        <v>46190</v>
      </c>
      <c r="C35" s="8" t="inlineStr">
        <is>
          <t>SDNA</t>
        </is>
      </c>
      <c r="D35" s="5" t="inlineStr">
        <is>
          <t>https://www.sdna.gr/podosfairo/973747_aris-pateras-o-ntaniel-mantsini</t>
        </is>
      </c>
      <c r="E35" s="8" t="inlineStr">
        <is>
          <t>Άρης: Πατέρας ο Ντάνιελ Μαντσίνι</t>
        </is>
      </c>
      <c r="F35" s="8" t="inlineStr">
        <is>
          <t>YES</t>
        </is>
      </c>
      <c r="G35" s="8" t="inlineStr">
        <is>
          <t>Daniel Mancini</t>
        </is>
      </c>
      <c r="H35" s="8" t="inlineStr">
        <is>
          <t>Aris</t>
        </is>
      </c>
      <c r="I35" s="8" t="inlineStr">
        <is>
          <t>other</t>
        </is>
      </c>
      <c r="J35" s="4" t="n">
        <v>44718</v>
      </c>
      <c r="K35" s="8" t="inlineStr">
        <is>
          <t>exact</t>
        </is>
      </c>
      <c r="L35" s="8" t="n">
        <v>3</v>
      </c>
      <c r="M35" s="8" t="inlineStr">
        <is>
          <t>high</t>
        </is>
      </c>
      <c r="N35" s="6" t="n"/>
      <c r="O35" s="6" t="n"/>
      <c r="P35" s="6" t="n"/>
      <c r="Q35" s="13">
        <f>IF(OR($F35="",$N35=""),"",IF(AND($F35="YES",$N35="YES"),"TP",IF(AND($F35="NO",$N35="YES"),"FP",IF(AND($F35="YES",$N35="NO"),"FN","TN"))))</f>
        <v/>
      </c>
      <c r="R35" s="8" t="n"/>
      <c r="S35" t="inlineStr">
        <is>
          <t>positive</t>
        </is>
      </c>
      <c r="T35" t="inlineStr">
        <is>
          <t>Birth of child</t>
        </is>
      </c>
    </row>
    <row r="36" ht="15" customHeight="1" s="30">
      <c r="A36" s="8" t="inlineStr">
        <is>
          <t>SDNA802</t>
        </is>
      </c>
      <c r="B36" s="4" t="n">
        <v>46190</v>
      </c>
      <c r="C36" s="8" t="inlineStr">
        <is>
          <t>SDNA</t>
        </is>
      </c>
      <c r="D36" s="5" t="inlineStr">
        <is>
          <t>https://www.sdna.gr/podosfairo/1197655_stigmes-eytyhias-gia-ton-aitor-egine-pateras-gia-proti-fora</t>
        </is>
      </c>
      <c r="E36" s="8" t="inlineStr">
        <is>
          <t>Στιγμές ευτυχίας για τον Αιτόρ: Έγινε πατέρας για πρώτη φορά</t>
        </is>
      </c>
      <c r="F36" s="8" t="inlineStr">
        <is>
          <t>YES</t>
        </is>
      </c>
      <c r="G36" s="8" t="inlineStr">
        <is>
          <t>Aitor Cantalapiedra</t>
        </is>
      </c>
      <c r="H36" s="8" t="inlineStr">
        <is>
          <t>Panathinaikos</t>
        </is>
      </c>
      <c r="I36" s="8" t="inlineStr">
        <is>
          <t>other</t>
        </is>
      </c>
      <c r="J36" s="4" t="n">
        <v>45424</v>
      </c>
      <c r="K36" s="8" t="inlineStr">
        <is>
          <t>exact</t>
        </is>
      </c>
      <c r="L36" s="8" t="n">
        <v>3</v>
      </c>
      <c r="M36" s="8" t="inlineStr">
        <is>
          <t>high</t>
        </is>
      </c>
      <c r="N36" s="6" t="n"/>
      <c r="O36" s="6" t="n"/>
      <c r="P36" s="6" t="n"/>
      <c r="Q36" s="13">
        <f>IF(OR($F36="",$N36=""),"",IF(AND($F36="YES",$N36="YES"),"TP",IF(AND($F36="NO",$N36="YES"),"FP",IF(AND($F36="YES",$N36="NO"),"FN","TN"))))</f>
        <v/>
      </c>
      <c r="R36" s="8" t="n"/>
      <c r="S36" t="inlineStr">
        <is>
          <t>positive</t>
        </is>
      </c>
      <c r="T36" t="inlineStr">
        <is>
          <t>Birth of child</t>
        </is>
      </c>
    </row>
    <row r="37" ht="15" customHeight="1" s="30">
      <c r="A37" s="8" t="inlineStr">
        <is>
          <t>SDNA803</t>
        </is>
      </c>
      <c r="B37" s="4" t="n">
        <v>46190</v>
      </c>
      <c r="C37" s="8" t="inlineStr">
        <is>
          <t>SDNA</t>
        </is>
      </c>
      <c r="D37" s="5" t="inlineStr">
        <is>
          <t>https://www.sdna.gr/podosfairo/1327576_deytero-test-gia-ton-ari-apenanti-stin-anterleht-eykairies-apo-oyzoynidi-se-nea</t>
        </is>
      </c>
      <c r="E37" s="8" t="inlineStr">
        <is>
          <t>Δεύτερο τεστ για τον Άρη απέναντι στην Άντερλεχτ</t>
        </is>
      </c>
      <c r="F37" s="8" t="inlineStr">
        <is>
          <t>YES</t>
        </is>
      </c>
      <c r="G37" s="8" t="inlineStr">
        <is>
          <t>Monchu</t>
        </is>
      </c>
      <c r="H37" s="8" t="inlineStr">
        <is>
          <t>Aris</t>
        </is>
      </c>
      <c r="I37" s="8" t="inlineStr">
        <is>
          <t>other</t>
        </is>
      </c>
      <c r="J37" s="4" t="n">
        <v>45842</v>
      </c>
      <c r="K37" s="8" t="inlineStr">
        <is>
          <t>approximate</t>
        </is>
      </c>
      <c r="L37" s="8" t="n">
        <v>1</v>
      </c>
      <c r="M37" s="8" t="inlineStr">
        <is>
          <t>medium</t>
        </is>
      </c>
      <c r="N37" s="6" t="n"/>
      <c r="O37" s="6" t="n"/>
      <c r="P37" s="6" t="n"/>
      <c r="Q37" s="13">
        <f>IF(OR($F37="",$N37=""),"",IF(AND($F37="YES",$N37="YES"),"TP",IF(AND($F37="NO",$N37="YES"),"FP",IF(AND($F37="YES",$N37="NO"),"FN","TN"))))</f>
        <v/>
      </c>
      <c r="R37" s="8" t="n"/>
      <c r="S37" t="inlineStr">
        <is>
          <t>drop_not_event</t>
        </is>
      </c>
      <c r="T37" t="inlineStr">
        <is>
          <t>Friendly-match preview (vs Anderlecht), not a life event</t>
        </is>
      </c>
    </row>
    <row r="38" ht="15" customHeight="1" s="30">
      <c r="A38" s="8" t="inlineStr">
        <is>
          <t>SDNA804</t>
        </is>
      </c>
      <c r="B38" s="4" t="n">
        <v>46190</v>
      </c>
      <c r="C38" s="8" t="inlineStr">
        <is>
          <t>SDNA</t>
        </is>
      </c>
      <c r="D38" s="5" t="inlineStr">
        <is>
          <t>https://www.sdna.gr/podosfairo/1310244_syzygos-bieirinia-otan-o-antre-gyrise-ston-paok-kaneis-den-toy-eipe-oti-itan-i</t>
        </is>
      </c>
      <c r="E38" s="8" t="inlineStr">
        <is>
          <t>Σύζυγος Βιεϊρίνια: «Όταν ο Αντρέ γύρισε στον ΠΑΟΚ, κανείς δεν του είπε ότι ήταν η ώρα...»</t>
        </is>
      </c>
      <c r="F38" s="8" t="inlineStr">
        <is>
          <t>YES</t>
        </is>
      </c>
      <c r="G38" s="8" t="inlineStr">
        <is>
          <t>Andre Vieirinha</t>
        </is>
      </c>
      <c r="H38" s="8" t="inlineStr">
        <is>
          <t>PAOK</t>
        </is>
      </c>
      <c r="I38" s="8" t="inlineStr">
        <is>
          <t>other</t>
        </is>
      </c>
      <c r="J38" s="4" t="n">
        <v>45784</v>
      </c>
      <c r="K38" s="8" t="inlineStr">
        <is>
          <t>exact</t>
        </is>
      </c>
      <c r="L38" s="8" t="n">
        <v>1</v>
      </c>
      <c r="M38" s="8" t="inlineStr">
        <is>
          <t>high</t>
        </is>
      </c>
      <c r="N38" s="6" t="n"/>
      <c r="O38" s="6" t="n"/>
      <c r="P38" s="6" t="n"/>
      <c r="Q38" s="13">
        <f>IF(OR($F38="",$N38=""),"",IF(AND($F38="YES",$N38="YES"),"TP",IF(AND($F38="NO",$N38="YES"),"FP",IF(AND($F38="YES",$N38="NO"),"FN","TN"))))</f>
        <v/>
      </c>
      <c r="R38" s="8" t="n"/>
      <c r="S38" t="inlineStr">
        <is>
          <t>ambiguous</t>
        </is>
      </c>
      <c r="T38" t="inlineStr">
        <is>
          <t>Wife interview re: difficult return to club; low severity(1), unclear if negative event or PR piece</t>
        </is>
      </c>
    </row>
    <row r="39" ht="15" customHeight="1" s="30">
      <c r="A39" s="8" t="inlineStr">
        <is>
          <t>SDNA805</t>
        </is>
      </c>
      <c r="B39" s="4" t="n">
        <v>46190</v>
      </c>
      <c r="C39" s="8" t="inlineStr">
        <is>
          <t>SDNA</t>
        </is>
      </c>
      <c r="D39" s="5" t="inlineStr">
        <is>
          <t>https://www.sdna.gr/podosfairo/1311230_kremane-ta-papoytsia-toys-dyo-athorybes-metagrafes-poy-eginan-simeio-anaforas</t>
        </is>
      </c>
      <c r="E39" s="8" t="inlineStr">
        <is>
          <t>«Κρεμάνε» τα παπούτσια τους δύο «αθόρυβες» μεταγραφές που έγιναν σημείο αναφοράς</t>
        </is>
      </c>
      <c r="F39" s="8" t="inlineStr">
        <is>
          <t>YES</t>
        </is>
      </c>
      <c r="G39" s="8" t="inlineStr">
        <is>
          <t>Andre Vieirinha</t>
        </is>
      </c>
      <c r="H39" s="8" t="inlineStr">
        <is>
          <t>PAOK</t>
        </is>
      </c>
      <c r="I39" s="8" t="inlineStr">
        <is>
          <t>other</t>
        </is>
      </c>
      <c r="J39" s="4" t="n">
        <v>45787</v>
      </c>
      <c r="K39" s="8" t="inlineStr">
        <is>
          <t>approximate</t>
        </is>
      </c>
      <c r="L39" s="8" t="n">
        <v>1</v>
      </c>
      <c r="M39" s="8" t="inlineStr">
        <is>
          <t>medium</t>
        </is>
      </c>
      <c r="N39" s="6" t="n"/>
      <c r="O39" s="6" t="n"/>
      <c r="P39" s="6" t="n"/>
      <c r="Q39" s="13">
        <f>IF(OR($F39="",$N39=""),"",IF(AND($F39="YES",$N39="YES"),"TP",IF(AND($F39="NO",$N39="YES"),"FP",IF(AND($F39="YES",$N39="NO"),"FN","TN"))))</f>
        <v/>
      </c>
      <c r="R39" s="8" t="n"/>
      <c r="S39" t="inlineStr">
        <is>
          <t>neutral</t>
        </is>
      </c>
      <c r="T39" t="inlineStr">
        <is>
          <t>Retirement/transfer human-interest piece, not a life event</t>
        </is>
      </c>
    </row>
    <row r="40" ht="15" customHeight="1" s="30">
      <c r="A40" s="8" t="inlineStr">
        <is>
          <t>SDNA901</t>
        </is>
      </c>
      <c r="B40" s="4" t="n">
        <v>46190</v>
      </c>
      <c r="C40" s="8" t="inlineStr">
        <is>
          <t>SDNA</t>
        </is>
      </c>
      <c r="D40" s="5" t="inlineStr">
        <is>
          <t>https://www.sdna.gr/podosfairo/1096569_pantreytike-o-almperto-mprinioli-vid</t>
        </is>
      </c>
      <c r="E40" s="8" t="inlineStr">
        <is>
          <t>Παντρεύτηκε ο Αλμπέρτο Μπρινιόλι (vid)</t>
        </is>
      </c>
      <c r="F40" s="8" t="inlineStr">
        <is>
          <t>YES</t>
        </is>
      </c>
      <c r="G40" s="8" t="inlineStr">
        <is>
          <t>Alberto Brignoli</t>
        </is>
      </c>
      <c r="H40" s="8" t="inlineStr">
        <is>
          <t>Panathinaikos</t>
        </is>
      </c>
      <c r="I40" s="8" t="inlineStr">
        <is>
          <t>other</t>
        </is>
      </c>
      <c r="J40" s="4" t="n">
        <v>45100</v>
      </c>
      <c r="K40" s="8" t="inlineStr">
        <is>
          <t>exact</t>
        </is>
      </c>
      <c r="L40" s="8" t="n">
        <v>3</v>
      </c>
      <c r="M40" s="8" t="inlineStr">
        <is>
          <t>high</t>
        </is>
      </c>
      <c r="N40" s="6" t="n"/>
      <c r="O40" s="6" t="n"/>
      <c r="P40" s="6" t="n"/>
      <c r="Q40" s="13">
        <f>IF(OR($F40="",$N40=""),"",IF(AND($F40="YES",$N40="YES"),"TP",IF(AND($F40="NO",$N40="YES"),"FP",IF(AND($F40="YES",$N40="NO"),"FN","TN"))))</f>
        <v/>
      </c>
      <c r="R40" s="8" t="n"/>
      <c r="S40" t="inlineStr">
        <is>
          <t>positive</t>
        </is>
      </c>
      <c r="T40" t="inlineStr">
        <is>
          <t>Marriage</t>
        </is>
      </c>
    </row>
    <row r="41" ht="15" customHeight="1" s="30">
      <c r="A41" s="8" t="inlineStr">
        <is>
          <t>SDNA902</t>
        </is>
      </c>
      <c r="B41" s="4" t="n">
        <v>46190</v>
      </c>
      <c r="C41" s="8" t="inlineStr">
        <is>
          <t>SDNA</t>
        </is>
      </c>
      <c r="D41" s="5" t="inlineStr">
        <is>
          <t>https://www.sdna.gr/podosfairo/1205795_paok-pantreytike-kai-o-gioni-oto-pic</t>
        </is>
      </c>
      <c r="E41" s="8" t="inlineStr">
        <is>
          <t>ΠΑΟΚ: Παντρεύτηκε και ο Γιόνι Ότο (pic)</t>
        </is>
      </c>
      <c r="F41" s="8" t="inlineStr">
        <is>
          <t>YES</t>
        </is>
      </c>
      <c r="G41" s="8" t="inlineStr">
        <is>
          <t>Jony Otto</t>
        </is>
      </c>
      <c r="H41" s="8" t="inlineStr">
        <is>
          <t>PAOK</t>
        </is>
      </c>
      <c r="I41" s="8" t="inlineStr">
        <is>
          <t>other</t>
        </is>
      </c>
      <c r="J41" s="4" t="n">
        <v>45451</v>
      </c>
      <c r="K41" s="8" t="inlineStr">
        <is>
          <t>exact</t>
        </is>
      </c>
      <c r="L41" s="8" t="n">
        <v>3</v>
      </c>
      <c r="M41" s="8" t="inlineStr">
        <is>
          <t>high</t>
        </is>
      </c>
      <c r="N41" s="6" t="n"/>
      <c r="O41" s="6" t="n"/>
      <c r="P41" s="6" t="n"/>
      <c r="Q41" s="13">
        <f>IF(OR($F41="",$N41=""),"",IF(AND($F41="YES",$N41="YES"),"TP",IF(AND($F41="NO",$N41="YES"),"FP",IF(AND($F41="YES",$N41="NO"),"FN","TN"))))</f>
        <v/>
      </c>
      <c r="R41" s="8" t="n"/>
      <c r="S41" t="inlineStr">
        <is>
          <t>positive</t>
        </is>
      </c>
      <c r="T41" t="inlineStr">
        <is>
          <t>Marriage</t>
        </is>
      </c>
    </row>
    <row r="42" ht="15" customHeight="1" s="30">
      <c r="A42" s="8" t="inlineStr">
        <is>
          <t>SDNA806</t>
        </is>
      </c>
      <c r="B42" s="4" t="n">
        <v>46190</v>
      </c>
      <c r="C42" s="8" t="inlineStr">
        <is>
          <t>SDNA</t>
        </is>
      </c>
      <c r="D42" s="5" t="inlineStr">
        <is>
          <t>https://www.sdna.gr/podosfairo/1311230_kremane-ta-papoytsia-toys-dyo-athorybes-metagrafes-poy-eginan-simeio-anaforas</t>
        </is>
      </c>
      <c r="E42" s="8" t="inlineStr">
        <is>
          <t>«Κρεμάνε» τα παπούτσια τους δύο «αθόρυβες» μεταγραφές που έγιναν σημείο αναφοράς</t>
        </is>
      </c>
      <c r="F42" s="8" t="inlineStr">
        <is>
          <t>YES</t>
        </is>
      </c>
      <c r="G42" s="8" t="inlineStr">
        <is>
          <t xml:space="preserve"> Zeca</t>
        </is>
      </c>
      <c r="H42" s="8" t="inlineStr">
        <is>
          <t>Panathinaikos</t>
        </is>
      </c>
      <c r="I42" s="8" t="inlineStr">
        <is>
          <t>other</t>
        </is>
      </c>
      <c r="J42" s="4" t="n">
        <v>45787</v>
      </c>
      <c r="K42" s="8" t="inlineStr">
        <is>
          <t>approximate</t>
        </is>
      </c>
      <c r="L42" s="8" t="n">
        <v>1</v>
      </c>
      <c r="M42" s="8" t="inlineStr">
        <is>
          <t>medium</t>
        </is>
      </c>
      <c r="N42" s="6" t="n"/>
      <c r="O42" s="6" t="n"/>
      <c r="P42" s="6" t="n"/>
      <c r="Q42" s="13">
        <f>IF(OR($F42="",$N42=""),"",IF(AND($F42="YES",$N42="YES"),"TP",IF(AND($F42="NO",$N42="YES"),"FP",IF(AND($F42="YES",$N42="NO"),"FN","TN"))))</f>
        <v/>
      </c>
      <c r="R42" s="8" t="n"/>
      <c r="S42" t="inlineStr">
        <is>
          <t>neutral</t>
        </is>
      </c>
      <c r="T42" t="inlineStr">
        <is>
          <t>Same article as SDNA805, different player mentioned</t>
        </is>
      </c>
    </row>
    <row r="43" ht="15" customHeight="1" s="30">
      <c r="A43" s="8" t="inlineStr">
        <is>
          <t>SDNA904</t>
        </is>
      </c>
      <c r="B43" s="4" t="n">
        <v>46190</v>
      </c>
      <c r="C43" s="8" t="inlineStr">
        <is>
          <t>SDNA</t>
        </is>
      </c>
      <c r="D43" s="5" t="inlineStr">
        <is>
          <t>https://www.sdna.gr/podosfairo/1364964_egine-gia-proti-fora-pateras-o-pirola-pic</t>
        </is>
      </c>
      <c r="E43" s="8" t="inlineStr">
        <is>
          <t>Έγινε για πρώτη φορά πατέρας ο Πιρόλα (pic)</t>
        </is>
      </c>
      <c r="F43" s="8" t="inlineStr">
        <is>
          <t>YES</t>
        </is>
      </c>
      <c r="G43" s="8" t="inlineStr">
        <is>
          <t>Lorenzo Pirola</t>
        </is>
      </c>
      <c r="H43" s="8" t="inlineStr">
        <is>
          <t>Olympiakos</t>
        </is>
      </c>
      <c r="I43" s="8" t="inlineStr">
        <is>
          <t>other</t>
        </is>
      </c>
      <c r="J43" s="4" t="n">
        <v>45960</v>
      </c>
      <c r="K43" s="8" t="inlineStr">
        <is>
          <t>exact</t>
        </is>
      </c>
      <c r="L43" s="8" t="n">
        <v>3</v>
      </c>
      <c r="M43" s="8" t="inlineStr">
        <is>
          <t>high</t>
        </is>
      </c>
      <c r="N43" s="6" t="n"/>
      <c r="O43" s="6" t="n"/>
      <c r="P43" s="6" t="n"/>
      <c r="Q43" s="13">
        <f>IF(OR($F43="",$N43=""),"",IF(AND($F43="YES",$N43="YES"),"TP",IF(AND($F43="NO",$N43="YES"),"FP",IF(AND($F43="YES",$N43="NO"),"FN","TN"))))</f>
        <v/>
      </c>
      <c r="R43" s="8" t="n"/>
      <c r="S43" t="inlineStr">
        <is>
          <t>positive</t>
        </is>
      </c>
      <c r="T43" t="inlineStr">
        <is>
          <t>Birth of child</t>
        </is>
      </c>
    </row>
    <row r="44" ht="15" customHeight="1" s="30">
      <c r="A44" s="8" t="inlineStr">
        <is>
          <t>SDNA905</t>
        </is>
      </c>
      <c r="B44" s="4" t="n">
        <v>46190</v>
      </c>
      <c r="C44" s="8" t="inlineStr">
        <is>
          <t>SDNA</t>
        </is>
      </c>
      <c r="D44" s="5" t="inlineStr">
        <is>
          <t>https://www.sdna.gr/podosfairo/1437441_imeres-haras-ston-paok-baftise-tin-kori-toy-o-zibkobits-pantreytike-o-tsiftsis</t>
        </is>
      </c>
      <c r="E44" s="8" t="inlineStr">
        <is>
          <t>Ημέρες χαράς στον ΠΑΟΚ: Βάφτισε την κόρη του ο Ζίβκοβιτς, παντρεύτηκε ο Τσιφτσής (pics &amp; vid)</t>
        </is>
      </c>
      <c r="F44" s="8" t="inlineStr">
        <is>
          <t>YES</t>
        </is>
      </c>
      <c r="G44" s="8" t="inlineStr">
        <is>
          <t>Andrija Zivkovic</t>
        </is>
      </c>
      <c r="H44" s="8" t="inlineStr">
        <is>
          <t>PAOK</t>
        </is>
      </c>
      <c r="I44" s="8" t="inlineStr">
        <is>
          <t>other</t>
        </is>
      </c>
      <c r="J44" s="4" t="n">
        <v>46179</v>
      </c>
      <c r="K44" s="8" t="inlineStr">
        <is>
          <t>exact</t>
        </is>
      </c>
      <c r="L44" s="8" t="n">
        <v>2</v>
      </c>
      <c r="M44" s="8" t="inlineStr">
        <is>
          <t>high</t>
        </is>
      </c>
      <c r="N44" s="6" t="n"/>
      <c r="O44" s="6" t="n"/>
      <c r="P44" s="6" t="n"/>
      <c r="Q44" s="13">
        <f>IF(OR($F44="",$N44=""),"",IF(AND($F44="YES",$N44="YES"),"TP",IF(AND($F44="NO",$N44="YES"),"FP",IF(AND($F44="YES",$N44="NO"),"FN","TN"))))</f>
        <v/>
      </c>
      <c r="R44" s="8" t="n"/>
      <c r="S44" t="inlineStr">
        <is>
          <t>positive</t>
        </is>
      </c>
      <c r="T44" t="inlineStr">
        <is>
          <t>Baptism of daughter (+ teammate wedding in same article)</t>
        </is>
      </c>
    </row>
    <row r="45" ht="15" customHeight="1" s="30">
      <c r="A45" s="8" t="inlineStr">
        <is>
          <t>GAZ001</t>
        </is>
      </c>
      <c r="B45" s="4" t="n">
        <v>46190</v>
      </c>
      <c r="C45" s="8" t="inlineStr">
        <is>
          <t>Gazzetta</t>
        </is>
      </c>
      <c r="D45" s="5" t="inlineStr">
        <is>
          <t>https://www.gazzetta.gr/football/superleague/2160985/panathinaikos-oi-5-traymatismoi-ton-paikton-toy-trifyllioy-vid</t>
        </is>
      </c>
      <c r="E45" s="8" t="inlineStr">
        <is>
          <t>Παναθηναϊκός: Οι 5 τραυματισμοί των παικτών του «τριφυλλιού» (vid)</t>
        </is>
      </c>
      <c r="F45" s="8" t="inlineStr">
        <is>
          <t>YES</t>
        </is>
      </c>
      <c r="G45" s="8" t="inlineStr">
        <is>
          <t>Aitor Cantalapiedra</t>
        </is>
      </c>
      <c r="H45" s="8" t="inlineStr">
        <is>
          <t>Panathinaikos</t>
        </is>
      </c>
      <c r="I45" s="8" t="inlineStr">
        <is>
          <t>injury</t>
        </is>
      </c>
      <c r="J45" s="4" t="n">
        <v>44849</v>
      </c>
      <c r="K45" s="8" t="inlineStr">
        <is>
          <t>exact</t>
        </is>
      </c>
      <c r="L45" s="8" t="n">
        <v>2</v>
      </c>
      <c r="M45" s="8" t="inlineStr">
        <is>
          <t>high</t>
        </is>
      </c>
      <c r="N45" s="6" t="n"/>
      <c r="O45" s="6" t="n"/>
      <c r="P45" s="6" t="n"/>
      <c r="Q45" s="13">
        <f>IF(OR($F45="",$N45=""),"",IF(AND($F45="YES",$N45="YES"),"TP",IF(AND($F45="NO",$N45="YES"),"FP",IF(AND($F45="YES",$N45="NO"),"FN","TN"))))</f>
        <v/>
      </c>
      <c r="R45" s="8" t="n"/>
    </row>
    <row r="46" ht="15" customHeight="1" s="30">
      <c r="A46" s="8" t="inlineStr">
        <is>
          <t>GAZ002</t>
        </is>
      </c>
      <c r="B46" s="4" t="n">
        <v>46190</v>
      </c>
      <c r="C46" s="8" t="inlineStr">
        <is>
          <t>Gazzetta</t>
        </is>
      </c>
      <c r="D46" s="5" t="inlineStr">
        <is>
          <t>https://www.gazzetta.gr/football/superleague/2160985/panathinaikos-oi-5-traymatismoi-ton-paikton-toy-trifyllioy-vid</t>
        </is>
      </c>
      <c r="E46" s="8" t="inlineStr">
        <is>
          <t>Παναθηναϊκός: Οι 5 τραυματισμοί των παικτών του «τριφυλλιού» (vid)</t>
        </is>
      </c>
      <c r="F46" s="8" t="inlineStr">
        <is>
          <t>YES</t>
        </is>
      </c>
      <c r="G46" s="8" t="inlineStr">
        <is>
          <t>Adam Gnezda Cerin</t>
        </is>
      </c>
      <c r="H46" s="8" t="inlineStr">
        <is>
          <t>Panathinaikos</t>
        </is>
      </c>
      <c r="I46" s="8" t="inlineStr">
        <is>
          <t>injury</t>
        </is>
      </c>
      <c r="J46" s="4" t="n">
        <v>44849</v>
      </c>
      <c r="K46" s="8" t="inlineStr">
        <is>
          <t>exact</t>
        </is>
      </c>
      <c r="L46" s="8" t="n">
        <v>2</v>
      </c>
      <c r="M46" s="8" t="inlineStr">
        <is>
          <t>high</t>
        </is>
      </c>
      <c r="N46" s="6" t="n"/>
      <c r="O46" s="6" t="n"/>
      <c r="P46" s="6" t="n"/>
      <c r="Q46" s="13">
        <f>IF(OR($F46="",$N46=""),"",IF(AND($F46="YES",$N46="YES"),"TP",IF(AND($F46="NO",$N46="YES"),"FP",IF(AND($F46="YES",$N46="NO"),"FN","TN"))))</f>
        <v/>
      </c>
      <c r="R46" s="8" t="n"/>
    </row>
    <row r="47" ht="15" customHeight="1" s="30">
      <c r="A47" s="8" t="inlineStr">
        <is>
          <t>GAZ003</t>
        </is>
      </c>
      <c r="B47" s="4" t="n">
        <v>46190</v>
      </c>
      <c r="C47" s="8" t="inlineStr">
        <is>
          <t>Gazzetta</t>
        </is>
      </c>
      <c r="D47" s="5" t="inlineStr">
        <is>
          <t>https://www.gazzetta.gr/football/superleague/2160985/panathinaikos-oi-5-traymatismoi-ton-paikton-toy-trifyllioy-vid</t>
        </is>
      </c>
      <c r="E47" s="8" t="inlineStr">
        <is>
          <t>Παναθηναϊκός: Οι 5 τραυματισμοί των παικτών του «τριφυλλιού» (vid)</t>
        </is>
      </c>
      <c r="F47" s="8" t="inlineStr">
        <is>
          <t>YES</t>
        </is>
      </c>
      <c r="G47" s="8" t="inlineStr">
        <is>
          <t>Fotis Ioannidis</t>
        </is>
      </c>
      <c r="H47" s="8" t="inlineStr">
        <is>
          <t>Panathinaikos</t>
        </is>
      </c>
      <c r="I47" s="8" t="inlineStr">
        <is>
          <t>injury</t>
        </is>
      </c>
      <c r="J47" s="4" t="n">
        <v>44849</v>
      </c>
      <c r="K47" s="8" t="inlineStr">
        <is>
          <t>exact</t>
        </is>
      </c>
      <c r="L47" s="8" t="n">
        <v>4</v>
      </c>
      <c r="M47" s="8" t="inlineStr">
        <is>
          <t>high</t>
        </is>
      </c>
      <c r="N47" s="6" t="n"/>
      <c r="O47" s="6" t="n"/>
      <c r="P47" s="6" t="n"/>
      <c r="Q47" s="13">
        <f>IF(OR($F47="",$N47=""),"",IF(AND($F47="YES",$N47="YES"),"TP",IF(AND($F47="NO",$N47="YES"),"FP",IF(AND($F47="YES",$N47="NO"),"FN","TN"))))</f>
        <v/>
      </c>
      <c r="R47" s="8" t="n"/>
    </row>
    <row r="48" ht="15" customHeight="1" s="30">
      <c r="A48" s="8" t="inlineStr">
        <is>
          <t>GAZ004</t>
        </is>
      </c>
      <c r="B48" s="4" t="n">
        <v>46190</v>
      </c>
      <c r="C48" s="8" t="inlineStr">
        <is>
          <t>Gazzetta</t>
        </is>
      </c>
      <c r="D48" s="5" t="inlineStr">
        <is>
          <t>https://www.gazzetta.gr/football/superleague/2160985/panathinaikos-oi-5-traymatismoi-ton-paikton-toy-trifyllioy-vid</t>
        </is>
      </c>
      <c r="E48" s="8" t="inlineStr">
        <is>
          <t>Παναθηναϊκός: Οι 5 τραυματισμοί των παικτών του «τριφυλλιού» (vid)</t>
        </is>
      </c>
      <c r="F48" s="8" t="inlineStr">
        <is>
          <t>YES</t>
        </is>
      </c>
      <c r="G48" s="8" t="inlineStr">
        <is>
          <t>Sebastian Palacios</t>
        </is>
      </c>
      <c r="H48" s="8" t="inlineStr">
        <is>
          <t>Panathinaikos</t>
        </is>
      </c>
      <c r="I48" s="8" t="inlineStr">
        <is>
          <t>injury</t>
        </is>
      </c>
      <c r="J48" s="4" t="n">
        <v>44849</v>
      </c>
      <c r="K48" s="8" t="inlineStr">
        <is>
          <t>exact</t>
        </is>
      </c>
      <c r="L48" s="8" t="n">
        <v>2</v>
      </c>
      <c r="M48" s="8" t="inlineStr">
        <is>
          <t>high</t>
        </is>
      </c>
      <c r="N48" s="6" t="n"/>
      <c r="O48" s="6" t="n"/>
      <c r="P48" s="6" t="n"/>
      <c r="Q48" s="13">
        <f>IF(OR($F48="",$N48=""),"",IF(AND($F48="YES",$N48="YES"),"TP",IF(AND($F48="NO",$N48="YES"),"FP",IF(AND($F48="YES",$N48="NO"),"FN","TN"))))</f>
        <v/>
      </c>
      <c r="R48" s="8" t="n"/>
    </row>
    <row r="49" ht="15" customHeight="1" s="30">
      <c r="A49" s="8" t="inlineStr">
        <is>
          <t>GAZ005</t>
        </is>
      </c>
      <c r="B49" s="4" t="n">
        <v>46190</v>
      </c>
      <c r="C49" s="8" t="inlineStr">
        <is>
          <t>Gazzetta</t>
        </is>
      </c>
      <c r="D49" s="5" t="inlineStr">
        <is>
          <t>https://www.gazzetta.gr/football/superleague/2160969/lamia-panathinaikos-sobaros-traymatismos-toy-troyigie-sto-gonato-sto</t>
        </is>
      </c>
      <c r="E49" s="8" t="inlineStr">
        <is>
          <t>Λαμία - Παναθηναϊκός: Σοβαρός τραυματισμός του Τρουιγιέ στο γόνατο, στο νοσοκομείο με ασθενοφόρο (vid)</t>
        </is>
      </c>
      <c r="F49" s="8" t="inlineStr">
        <is>
          <t>YES</t>
        </is>
      </c>
      <c r="G49" s="8" t="inlineStr">
        <is>
          <t>Benjamin Trouillet</t>
        </is>
      </c>
      <c r="H49" s="8" t="inlineStr">
        <is>
          <t>Panathinaikos</t>
        </is>
      </c>
      <c r="I49" s="8" t="inlineStr">
        <is>
          <t>injury</t>
        </is>
      </c>
      <c r="J49" s="4" t="n">
        <v>44849</v>
      </c>
      <c r="K49" s="8" t="inlineStr">
        <is>
          <t>exact</t>
        </is>
      </c>
      <c r="L49" s="8" t="n">
        <v>5</v>
      </c>
      <c r="M49" s="8" t="inlineStr">
        <is>
          <t>high</t>
        </is>
      </c>
      <c r="N49" s="6" t="n"/>
      <c r="O49" s="6" t="n"/>
      <c r="P49" s="6" t="n"/>
      <c r="Q49" s="13">
        <f>IF(OR($F49="",$N49=""),"",IF(AND($F49="YES",$N49="YES"),"TP",IF(AND($F49="NO",$N49="YES"),"FP",IF(AND($F49="YES",$N49="NO"),"FN","TN"))))</f>
        <v/>
      </c>
      <c r="R49" s="8" t="n"/>
    </row>
    <row r="50" ht="15" customHeight="1" s="30">
      <c r="A50" s="8" t="inlineStr">
        <is>
          <t>GAZ006</t>
        </is>
      </c>
      <c r="B50" s="4" t="n">
        <v>46190</v>
      </c>
      <c r="C50" s="8" t="inlineStr">
        <is>
          <t>Gazzetta</t>
        </is>
      </c>
      <c r="D50" s="5" t="inlineStr">
        <is>
          <t>https://www.gazzetta.gr/football/superleague/2033691/paok-sok-me-olibeira-ypesti-meriki-rixi-hiastoy</t>
        </is>
      </c>
      <c r="E50" s="8" t="inlineStr">
        <is>
          <t>ΠΑΟΚ: Σοκ με Ολιβέιρα, υπέστη μερική ρήξη χιαστού!</t>
        </is>
      </c>
      <c r="F50" s="8" t="inlineStr">
        <is>
          <t>YES</t>
        </is>
      </c>
      <c r="G50" s="8" t="inlineStr">
        <is>
          <t>Nelson Oliveira</t>
        </is>
      </c>
      <c r="H50" s="8" t="inlineStr">
        <is>
          <t>PAOK</t>
        </is>
      </c>
      <c r="I50" s="8" t="inlineStr">
        <is>
          <t>injury</t>
        </is>
      </c>
      <c r="J50" s="4" t="n">
        <v>44420</v>
      </c>
      <c r="K50" s="8" t="inlineStr">
        <is>
          <t>exact</t>
        </is>
      </c>
      <c r="L50" s="8" t="n">
        <v>4</v>
      </c>
      <c r="M50" s="8" t="inlineStr">
        <is>
          <t>high</t>
        </is>
      </c>
      <c r="N50" s="6" t="n"/>
      <c r="O50" s="6" t="n"/>
      <c r="P50" s="6" t="n"/>
      <c r="Q50" s="13">
        <f>IF(OR($F50="",$N50=""),"",IF(AND($F50="YES",$N50="YES"),"TP",IF(AND($F50="NO",$N50="YES"),"FP",IF(AND($F50="YES",$N50="NO"),"FN","TN"))))</f>
        <v/>
      </c>
      <c r="R50" s="8" t="n"/>
    </row>
    <row r="51" ht="15" customHeight="1" s="30">
      <c r="A51" s="8" t="inlineStr">
        <is>
          <t>GAZ007</t>
        </is>
      </c>
      <c r="B51" s="4" t="n">
        <v>46190</v>
      </c>
      <c r="C51" s="8" t="inlineStr">
        <is>
          <t>Gazzetta</t>
        </is>
      </c>
      <c r="D51" s="5" t="inlineStr">
        <is>
          <t>https://www.gazzetta.gr/football/superleague/2492276/panathinaikos-o-tetartos-sobaros-myikos-traymatismos-toy-pelistri-se</t>
        </is>
      </c>
      <c r="E51" s="8" t="inlineStr">
        <is>
          <t>Παναθηναϊκός: Ο τέταρτος σοβαρός μυϊκός τραυματισμός του Πελίστρι σε εννιά μήνες</t>
        </is>
      </c>
      <c r="F51" s="8" t="inlineStr">
        <is>
          <t>YES</t>
        </is>
      </c>
      <c r="G51" s="8" t="inlineStr">
        <is>
          <t>Facundo Pellistri</t>
        </is>
      </c>
      <c r="H51" s="8" t="inlineStr">
        <is>
          <t>Panathinaikos</t>
        </is>
      </c>
      <c r="I51" s="8" t="inlineStr">
        <is>
          <t>injury</t>
        </is>
      </c>
      <c r="J51" s="4" t="n">
        <v>45980</v>
      </c>
      <c r="K51" s="8" t="inlineStr">
        <is>
          <t>approximate</t>
        </is>
      </c>
      <c r="L51" s="8" t="n">
        <v>4</v>
      </c>
      <c r="M51" s="8" t="inlineStr">
        <is>
          <t>high</t>
        </is>
      </c>
      <c r="N51" s="6" t="n"/>
      <c r="O51" s="6" t="n"/>
      <c r="P51" s="6" t="n"/>
      <c r="Q51" s="13">
        <f>IF(OR($F51="",$N51=""),"",IF(AND($F51="YES",$N51="YES"),"TP",IF(AND($F51="NO",$N51="YES"),"FP",IF(AND($F51="YES",$N51="NO"),"FN","TN"))))</f>
        <v/>
      </c>
      <c r="R51" s="8" t="n"/>
    </row>
    <row r="52" ht="15" customHeight="1" s="30">
      <c r="A52" s="8" t="inlineStr">
        <is>
          <t>GAZ009</t>
        </is>
      </c>
      <c r="B52" s="4" t="n">
        <v>46190</v>
      </c>
      <c r="C52" s="8" t="inlineStr">
        <is>
          <t>Gazzetta</t>
        </is>
      </c>
      <c r="D52" s="5" t="inlineStr">
        <is>
          <t>https://www.gazzetta.gr/football/superleague/2504854/ntesers-minyma-toy-nigirianoy-meta-ton-traymatismo-toy</t>
        </is>
      </c>
      <c r="E52" s="8" t="inlineStr">
        <is>
          <t>Ντέσερς: Το μήνυμα του Νιγηριανού φορ μετά τον τραυματισμό του</t>
        </is>
      </c>
      <c r="F52" s="8" t="inlineStr">
        <is>
          <t>YES</t>
        </is>
      </c>
      <c r="G52" s="8" t="inlineStr">
        <is>
          <t>Cyriel Dessers</t>
        </is>
      </c>
      <c r="H52" s="8" t="inlineStr">
        <is>
          <t>Panathinaikos</t>
        </is>
      </c>
      <c r="I52" s="8" t="inlineStr">
        <is>
          <t>injury</t>
        </is>
      </c>
      <c r="J52" s="4" t="n">
        <v>46028</v>
      </c>
      <c r="K52" s="8" t="inlineStr">
        <is>
          <t>approximate</t>
        </is>
      </c>
      <c r="L52" s="8" t="n">
        <v>4</v>
      </c>
      <c r="M52" s="8" t="inlineStr">
        <is>
          <t>high</t>
        </is>
      </c>
      <c r="N52" s="6" t="n"/>
      <c r="O52" s="6" t="n"/>
      <c r="P52" s="6" t="n"/>
      <c r="Q52" s="13">
        <f>IF(OR($F52="",$N52=""),"",IF(AND($F52="YES",$N52="YES"),"TP",IF(AND($F52="NO",$N52="YES"),"FP",IF(AND($F52="YES",$N52="NO"),"FN","TN"))))</f>
        <v/>
      </c>
      <c r="R52" s="8" t="n"/>
    </row>
    <row r="53" ht="15" customHeight="1" s="30">
      <c r="A53" s="8" t="inlineStr">
        <is>
          <t>GAZ010</t>
        </is>
      </c>
      <c r="B53" s="4" t="n">
        <v>46190</v>
      </c>
      <c r="C53" s="8" t="inlineStr">
        <is>
          <t>Gazzetta</t>
        </is>
      </c>
      <c r="D53" s="5" t="inlineStr">
        <is>
          <t>https://www.gazzetta.gr/football/1096569_pantreytike-o-almperto-mprinioli-vid</t>
        </is>
      </c>
      <c r="E53" s="8" t="inlineStr">
        <is>
          <t>Παντρεύτηκε ο Αλμπέρτο Μπρινιόλι (vid)</t>
        </is>
      </c>
      <c r="F53" s="8" t="inlineStr">
        <is>
          <t>YES</t>
        </is>
      </c>
      <c r="G53" s="8" t="inlineStr">
        <is>
          <t>Alberto Brignoli</t>
        </is>
      </c>
      <c r="H53" s="8" t="inlineStr">
        <is>
          <t>Panathinaikos</t>
        </is>
      </c>
      <c r="I53" s="8" t="inlineStr">
        <is>
          <t>other</t>
        </is>
      </c>
      <c r="J53" s="4" t="n">
        <v>45100</v>
      </c>
      <c r="K53" s="8" t="inlineStr">
        <is>
          <t>exact</t>
        </is>
      </c>
      <c r="L53" s="8" t="n">
        <v>3</v>
      </c>
      <c r="M53" s="8" t="inlineStr">
        <is>
          <t>high</t>
        </is>
      </c>
      <c r="N53" s="6" t="n"/>
      <c r="O53" s="6" t="n"/>
      <c r="P53" s="6" t="n"/>
      <c r="Q53" s="13">
        <f>IF(OR($F53="",$N53=""),"",IF(AND($F53="YES",$N53="YES"),"TP",IF(AND($F53="NO",$N53="YES"),"FP",IF(AND($F53="YES",$N53="NO"),"FN","TN"))))</f>
        <v/>
      </c>
      <c r="R53" s="8" t="n"/>
      <c r="S53" t="inlineStr">
        <is>
          <t>drop_duplicate</t>
        </is>
      </c>
      <c r="T53" t="inlineStr">
        <is>
          <t>Duplicate of SDNA901 (same headline/url, Gazzetta republish)</t>
        </is>
      </c>
    </row>
    <row r="54" ht="15" customHeight="1" s="30">
      <c r="A54" s="8" t="inlineStr">
        <is>
          <t>GAZ011</t>
        </is>
      </c>
      <c r="B54" s="4" t="n">
        <v>46190</v>
      </c>
      <c r="C54" s="8" t="inlineStr">
        <is>
          <t>Gazzetta</t>
        </is>
      </c>
      <c r="D54" s="5" t="inlineStr">
        <is>
          <t>https://www.gazzetta.gr/football/1205795_paok-pantreytike-kai-o-gioni-oto-pic</t>
        </is>
      </c>
      <c r="E54" s="8" t="inlineStr">
        <is>
          <t>ΠΑΟΚ: Παντρεύτηκε και ο Γιόνι Ότο (pic)</t>
        </is>
      </c>
      <c r="F54" s="8" t="inlineStr">
        <is>
          <t>YES</t>
        </is>
      </c>
      <c r="G54" s="8" t="inlineStr">
        <is>
          <t>Jony Otto</t>
        </is>
      </c>
      <c r="H54" s="8" t="inlineStr">
        <is>
          <t>PAOK</t>
        </is>
      </c>
      <c r="I54" s="8" t="inlineStr">
        <is>
          <t>other</t>
        </is>
      </c>
      <c r="J54" s="4" t="n">
        <v>45451</v>
      </c>
      <c r="K54" s="8" t="inlineStr">
        <is>
          <t>exact</t>
        </is>
      </c>
      <c r="L54" s="8" t="n">
        <v>3</v>
      </c>
      <c r="M54" s="8" t="inlineStr">
        <is>
          <t>high</t>
        </is>
      </c>
      <c r="N54" s="6" t="n"/>
      <c r="O54" s="6" t="n"/>
      <c r="P54" s="6" t="n"/>
      <c r="Q54" s="13">
        <f>IF(OR($F54="",$N54=""),"",IF(AND($F54="YES",$N54="YES"),"TP",IF(AND($F54="NO",$N54="YES"),"FP",IF(AND($F54="YES",$N54="NO"),"FN","TN"))))</f>
        <v/>
      </c>
      <c r="R54" s="8" t="n"/>
      <c r="S54" t="inlineStr">
        <is>
          <t>drop_duplicate</t>
        </is>
      </c>
      <c r="T54" t="inlineStr">
        <is>
          <t>Duplicate of SDNA902 (same headline/url, Gazzetta republish)</t>
        </is>
      </c>
    </row>
    <row r="55" ht="15" customHeight="1" s="30">
      <c r="A55" s="8" t="inlineStr">
        <is>
          <t>GAZ101</t>
        </is>
      </c>
      <c r="B55" s="4" t="n">
        <v>46190</v>
      </c>
      <c r="C55" s="8" t="inlineStr">
        <is>
          <t>Gazzetta</t>
        </is>
      </c>
      <c r="D55" s="5" t="inlineStr">
        <is>
          <t>https://www.gazzetta.gr/football/superleague/2039529/panathinaikos-pantreytike-kai-erhetai-ellada-o-palasios-pics-vids</t>
        </is>
      </c>
      <c r="E55" s="8" t="inlineStr">
        <is>
          <t>Παναθηναϊκός: Παντρεύτηκε και έρχεται Ελλάδα ο Παλάσιος (pics &amp; vids)</t>
        </is>
      </c>
      <c r="F55" s="8" t="inlineStr">
        <is>
          <t>YES</t>
        </is>
      </c>
      <c r="G55" s="8" t="inlineStr">
        <is>
          <t>Sebastian Palacios</t>
        </is>
      </c>
      <c r="H55" s="8" t="inlineStr">
        <is>
          <t>Panathinaikos</t>
        </is>
      </c>
      <c r="I55" s="8" t="inlineStr">
        <is>
          <t>other</t>
        </is>
      </c>
      <c r="J55" s="4" t="n">
        <v>44441</v>
      </c>
      <c r="K55" s="8" t="inlineStr">
        <is>
          <t>exact</t>
        </is>
      </c>
      <c r="L55" s="8" t="n">
        <v>3</v>
      </c>
      <c r="M55" s="8" t="inlineStr">
        <is>
          <t>high</t>
        </is>
      </c>
      <c r="N55" s="6" t="n"/>
      <c r="O55" s="6" t="n"/>
      <c r="P55" s="6" t="n"/>
      <c r="Q55" s="13">
        <f>IF(OR($F55="",$N55=""),"",IF(AND($F55="YES",$N55="YES"),"TP",IF(AND($F55="NO",$N55="YES"),"FP",IF(AND($F55="YES",$N55="NO"),"FN","TN"))))</f>
        <v/>
      </c>
      <c r="R55" s="8" t="n"/>
      <c r="S55" t="inlineStr">
        <is>
          <t>positive</t>
        </is>
      </c>
      <c r="T55" t="inlineStr">
        <is>
          <t>Marriage</t>
        </is>
      </c>
    </row>
    <row r="56" ht="15" customHeight="1" s="30">
      <c r="A56" s="8" t="inlineStr">
        <is>
          <t>GAZ102</t>
        </is>
      </c>
      <c r="B56" s="4" t="n">
        <v>46190</v>
      </c>
      <c r="C56" s="8" t="inlineStr">
        <is>
          <t>Gazzetta</t>
        </is>
      </c>
      <c r="D56" s="5" t="inlineStr">
        <is>
          <t>https://www.gazzetta.gr/football/superleague/2125148/panathinaikos-pantreytike-o-palasios-kai-eklepse-tin-parastasi-me</t>
        </is>
      </c>
      <c r="E56" s="8" t="inlineStr">
        <is>
          <t>Παναθηναϊκός: Παντρεύτηκε ο Παλάσιος και έκλεψε την παράσταση με το πράσινο μαλλί (vids)</t>
        </is>
      </c>
      <c r="F56" s="8" t="inlineStr">
        <is>
          <t>YES</t>
        </is>
      </c>
      <c r="G56" s="8" t="inlineStr">
        <is>
          <t>Sebastian Palacios</t>
        </is>
      </c>
      <c r="H56" s="8" t="inlineStr">
        <is>
          <t>Panathinaikos</t>
        </is>
      </c>
      <c r="I56" s="8" t="inlineStr">
        <is>
          <t>other</t>
        </is>
      </c>
      <c r="J56" s="4" t="n">
        <v>44723</v>
      </c>
      <c r="K56" s="8" t="inlineStr">
        <is>
          <t>exact</t>
        </is>
      </c>
      <c r="L56" s="8" t="n">
        <v>2</v>
      </c>
      <c r="M56" s="8" t="inlineStr">
        <is>
          <t>high</t>
        </is>
      </c>
      <c r="N56" s="6" t="n"/>
      <c r="O56" s="6" t="n"/>
      <c r="P56" s="6" t="n"/>
      <c r="Q56" s="13">
        <f>IF(OR($F56="",$N56=""),"",IF(AND($F56="YES",$N56="YES"),"TP",IF(AND($F56="NO",$N56="YES"),"FP",IF(AND($F56="YES",$N56="NO"),"FN","TN"))))</f>
        <v/>
      </c>
      <c r="R56" s="8" t="n"/>
      <c r="S56" t="inlineStr">
        <is>
          <t>positive</t>
        </is>
      </c>
      <c r="T56" t="inlineStr">
        <is>
          <t>Marriage — dated 9mo after GAZ101 same player; verify not same wedding double-counted</t>
        </is>
      </c>
    </row>
    <row r="57" ht="15" customHeight="1" s="30">
      <c r="A57" s="8" t="inlineStr">
        <is>
          <t>GAZ103</t>
        </is>
      </c>
      <c r="B57" s="4" t="n">
        <v>46190</v>
      </c>
      <c r="C57" s="8" t="inlineStr">
        <is>
          <t>Gazzetta</t>
        </is>
      </c>
      <c r="D57" s="5" t="inlineStr">
        <is>
          <t>https://www.gazzetta.gr/football/superleague/2513372/eyharista-nea-gia-ton-marin-pateras-gia-deyteri-fora-o-roymanos-mesos</t>
        </is>
      </c>
      <c r="E57" s="8" t="inlineStr">
        <is>
          <t>Ευχάριστα νέα για τον Μαρίν: Πατέρας για δεύτερη φορά ο Ρουμάνος μέσος</t>
        </is>
      </c>
      <c r="F57" s="8" t="inlineStr">
        <is>
          <t>YES</t>
        </is>
      </c>
      <c r="G57" s="8" t="inlineStr">
        <is>
          <t>Razvan Marin</t>
        </is>
      </c>
      <c r="H57" s="8" t="inlineStr">
        <is>
          <t>AEK</t>
        </is>
      </c>
      <c r="I57" s="8" t="inlineStr">
        <is>
          <t>other</t>
        </is>
      </c>
      <c r="J57" s="4" t="n">
        <v>46057</v>
      </c>
      <c r="K57" s="8" t="inlineStr">
        <is>
          <t>exact</t>
        </is>
      </c>
      <c r="L57" s="8" t="n">
        <v>3</v>
      </c>
      <c r="M57" s="8" t="inlineStr">
        <is>
          <t>high</t>
        </is>
      </c>
      <c r="N57" s="6" t="n"/>
      <c r="O57" s="6" t="n"/>
      <c r="P57" s="6" t="n"/>
      <c r="Q57" s="13">
        <f>IF(OR($F57="",$N57=""),"",IF(AND($F57="YES",$N57="YES"),"TP",IF(AND($F57="NO",$N57="YES"),"FP",IF(AND($F57="YES",$N57="NO"),"FN","TN"))))</f>
        <v/>
      </c>
      <c r="R57" s="8" t="n"/>
      <c r="S57" t="inlineStr">
        <is>
          <t>positive</t>
        </is>
      </c>
      <c r="T57" t="inlineStr">
        <is>
          <t>Birth of child (2nd)</t>
        </is>
      </c>
    </row>
    <row r="58" ht="15" customHeight="1" s="30">
      <c r="A58" s="8" t="inlineStr">
        <is>
          <t>GAZ104</t>
        </is>
      </c>
      <c r="B58" s="4" t="n">
        <v>46190</v>
      </c>
      <c r="C58" s="8" t="inlineStr">
        <is>
          <t>Gazzetta</t>
        </is>
      </c>
      <c r="D58" s="5" t="inlineStr">
        <is>
          <t>https://www.gazzetta.gr/football/superleague/2374999/aris-egine-pateras-o-koyesta</t>
        </is>
      </c>
      <c r="E58" s="8" t="inlineStr">
        <is>
          <t>Άρης: Έγινε πατέρας ο Κουέστα</t>
        </is>
      </c>
      <c r="F58" s="8" t="inlineStr">
        <is>
          <t>YES</t>
        </is>
      </c>
      <c r="G58" s="8" t="inlineStr">
        <is>
          <t>Julian Cuesta</t>
        </is>
      </c>
      <c r="H58" s="8" t="inlineStr">
        <is>
          <t>Aris</t>
        </is>
      </c>
      <c r="I58" s="8" t="inlineStr">
        <is>
          <t>other</t>
        </is>
      </c>
      <c r="J58" s="4" t="n">
        <v>45563</v>
      </c>
      <c r="K58" s="8" t="inlineStr">
        <is>
          <t>exact</t>
        </is>
      </c>
      <c r="L58" s="8" t="n">
        <v>3</v>
      </c>
      <c r="M58" s="8" t="inlineStr">
        <is>
          <t>high</t>
        </is>
      </c>
      <c r="N58" s="6" t="n"/>
      <c r="O58" s="6" t="n"/>
      <c r="P58" s="6" t="n"/>
      <c r="Q58" s="13">
        <f>IF(OR($F58="",$N58=""),"",IF(AND($F58="YES",$N58="YES"),"TP",IF(AND($F58="NO",$N58="YES"),"FP",IF(AND($F58="YES",$N58="NO"),"FN","TN"))))</f>
        <v/>
      </c>
      <c r="R58" s="8" t="n"/>
      <c r="S58" t="inlineStr">
        <is>
          <t>positive</t>
        </is>
      </c>
      <c r="T58" t="inlineStr">
        <is>
          <t>Birth of child</t>
        </is>
      </c>
    </row>
    <row r="59" ht="15" customHeight="1" s="30">
      <c r="A59" s="8" t="inlineStr">
        <is>
          <t>GAZ105</t>
        </is>
      </c>
      <c r="B59" s="4" t="n">
        <v>46190</v>
      </c>
      <c r="C59" s="8" t="inlineStr">
        <is>
          <t>Gazzetta</t>
        </is>
      </c>
      <c r="D59" s="5" t="inlineStr">
        <is>
          <t>https://www.gazzetta.gr/football/2062441/paok-o-sintklei-fereira-pantreytike-tin-entyposiaki-tais-pineiro</t>
        </is>
      </c>
      <c r="E59" s="8" t="inlineStr">
        <is>
          <t>ΠΑΟΚ: Ο Σίντκλεϊ Φερέιρα παντρεύτηκε την εντυπωσιακή Ταΐς Πινέιρο</t>
        </is>
      </c>
      <c r="F59" s="8" t="inlineStr">
        <is>
          <t>YES</t>
        </is>
      </c>
      <c r="G59" s="8" t="inlineStr">
        <is>
          <t>Sidcley Ferreira</t>
        </is>
      </c>
      <c r="H59" s="8" t="inlineStr">
        <is>
          <t>PAOK</t>
        </is>
      </c>
      <c r="I59" s="8" t="inlineStr">
        <is>
          <t>other</t>
        </is>
      </c>
      <c r="J59" s="4" t="n">
        <v>44517</v>
      </c>
      <c r="K59" s="8" t="inlineStr">
        <is>
          <t>exact</t>
        </is>
      </c>
      <c r="L59" s="8" t="n">
        <v>2</v>
      </c>
      <c r="M59" s="8" t="inlineStr">
        <is>
          <t>high</t>
        </is>
      </c>
      <c r="N59" s="6" t="n"/>
      <c r="O59" s="6" t="n"/>
      <c r="P59" s="6" t="n"/>
      <c r="Q59" s="13">
        <f>IF(OR($F59="",$N59=""),"",IF(AND($F59="YES",$N59="YES"),"TP",IF(AND($F59="NO",$N59="YES"),"FP",IF(AND($F59="YES",$N59="NO"),"FN","TN"))))</f>
        <v/>
      </c>
      <c r="R59" s="8" t="n"/>
      <c r="S59" t="inlineStr">
        <is>
          <t>positive</t>
        </is>
      </c>
      <c r="T59" t="inlineStr">
        <is>
          <t>Marriage</t>
        </is>
      </c>
    </row>
    <row r="60" ht="15" customHeight="1" s="30">
      <c r="A60" s="8" t="inlineStr">
        <is>
          <t>GAZ106</t>
        </is>
      </c>
      <c r="B60" s="4" t="n">
        <v>46190</v>
      </c>
      <c r="C60" s="8" t="inlineStr">
        <is>
          <t>Gazzetta</t>
        </is>
      </c>
      <c r="D60" s="5" t="inlineStr">
        <is>
          <t>https://www.gazzetta.gr/football/superleague/2537727/adianoiti-gkinia-gia-giazitsi-treis-rixeis-hiastoy-se-exi-hronia</t>
        </is>
      </c>
      <c r="E60" s="8" t="inlineStr">
        <is>
          <t>Αδιανόητη γκίνια για Γιαζίτσι: Τρεις ρήξεις χιαστού σε έξι χρόνια!</t>
        </is>
      </c>
      <c r="F60" s="8" t="inlineStr">
        <is>
          <t>YES</t>
        </is>
      </c>
      <c r="G60" s="8" t="inlineStr">
        <is>
          <t>Yusuf Yazici</t>
        </is>
      </c>
      <c r="H60" s="8" t="inlineStr">
        <is>
          <t>Olympiakos</t>
        </is>
      </c>
      <c r="I60" s="8" t="inlineStr">
        <is>
          <t>injury</t>
        </is>
      </c>
      <c r="J60" s="4" t="n">
        <v>46149</v>
      </c>
      <c r="K60" s="8" t="inlineStr">
        <is>
          <t>exact</t>
        </is>
      </c>
      <c r="L60" s="8" t="n">
        <v>5</v>
      </c>
      <c r="M60" s="8" t="inlineStr">
        <is>
          <t>high</t>
        </is>
      </c>
      <c r="N60" s="6" t="n"/>
      <c r="O60" s="6" t="n"/>
      <c r="P60" s="6" t="n"/>
      <c r="Q60" s="13">
        <f>IF(OR($F60="",$N60=""),"",IF(AND($F60="YES",$N60="YES"),"TP",IF(AND($F60="NO",$N60="YES"),"FP",IF(AND($F60="YES",$N60="NO"),"FN","TN"))))</f>
        <v/>
      </c>
      <c r="R60" s="8" t="n"/>
    </row>
    <row r="61" ht="15" customHeight="1" s="30">
      <c r="A61" s="8" t="inlineStr">
        <is>
          <t>GAZ107</t>
        </is>
      </c>
      <c r="B61" s="4" t="n">
        <v>46190</v>
      </c>
      <c r="C61" s="8" t="inlineStr">
        <is>
          <t>Gazzetta</t>
        </is>
      </c>
      <c r="D61" s="5" t="inlineStr">
        <is>
          <t>https://www.gazzetta.gr/football/superleague/2525072/paok-o-soretire-epathe-zimia-kai-gyrizei-apo-ti-nea-sezon</t>
        </is>
      </c>
      <c r="E61" s="8" t="inlineStr">
        <is>
          <t>Ζημιά ο Σορετίρε, η ανάρτηση του ΠΑΟΚ για τον άτυχο εξτρέμ</t>
        </is>
      </c>
      <c r="F61" s="8" t="inlineStr">
        <is>
          <t>YES</t>
        </is>
      </c>
      <c r="G61" s="8" t="inlineStr">
        <is>
          <t>Sola Soretire</t>
        </is>
      </c>
      <c r="H61" s="8" t="inlineStr">
        <is>
          <t>PAOK (loaned to Zwolle)</t>
        </is>
      </c>
      <c r="I61" s="8" t="inlineStr">
        <is>
          <t>injury</t>
        </is>
      </c>
      <c r="J61" s="4" t="n">
        <v>46099</v>
      </c>
      <c r="K61" s="8" t="inlineStr">
        <is>
          <t>exact</t>
        </is>
      </c>
      <c r="L61" s="8" t="n">
        <v>4</v>
      </c>
      <c r="M61" s="8" t="inlineStr">
        <is>
          <t>high</t>
        </is>
      </c>
      <c r="N61" s="6" t="n"/>
      <c r="O61" s="6" t="n"/>
      <c r="P61" s="6" t="n"/>
      <c r="Q61" s="13">
        <f>IF(OR($F61="",$N61=""),"",IF(AND($F61="YES",$N61="YES"),"TP",IF(AND($F61="NO",$N61="YES"),"FP",IF(AND($F61="YES",$N61="NO"),"FN","TN"))))</f>
        <v/>
      </c>
      <c r="R61" s="8" t="n"/>
    </row>
    <row r="62">
      <c r="A62" s="9" t="inlineStr">
        <is>
          <t>GAZ108</t>
        </is>
      </c>
      <c r="B62" s="10" t="n">
        <v>46190</v>
      </c>
      <c r="C62" s="9" t="inlineStr">
        <is>
          <t>Gazzetta</t>
        </is>
      </c>
      <c r="D62" s="11" t="inlineStr">
        <is>
          <t>https://www.gazzetta.gr/football/superleague/2541224/bargka-na-petyhaino-perissotera-gkol-kai-na-pairno-titloys-me-tin-aek</t>
        </is>
      </c>
      <c r="E62" s="9" t="inlineStr">
        <is>
          <t>Βάργκα: «Να πετυχαίνω περισσότερα γκολ και να παίρνω τίτλους με την ΑΕΚ»</t>
        </is>
      </c>
      <c r="F62" s="9" t="inlineStr">
        <is>
          <t>NO</t>
        </is>
      </c>
      <c r="G62" s="9" t="inlineStr">
        <is>
          <t>Barnabas Varga</t>
        </is>
      </c>
      <c r="H62" s="9" t="inlineStr">
        <is>
          <t>AEK</t>
        </is>
      </c>
      <c r="I62" s="9" t="inlineStr">
        <is>
          <t>return_from_injury</t>
        </is>
      </c>
      <c r="J62" s="10" t="n">
        <v>45466</v>
      </c>
      <c r="K62" s="9" t="inlineStr">
        <is>
          <t>approximate</t>
        </is>
      </c>
      <c r="L62" s="9" t="n">
        <v>4</v>
      </c>
      <c r="M62" s="9" t="inlineStr">
        <is>
          <t>high</t>
        </is>
      </c>
    </row>
    <row r="63" ht="15" customHeight="1" s="30">
      <c r="A63" s="8" t="inlineStr">
        <is>
          <t>GAZ201</t>
        </is>
      </c>
      <c r="B63" s="4" t="n">
        <v>46190</v>
      </c>
      <c r="C63" s="8" t="inlineStr">
        <is>
          <t>Gazzetta</t>
        </is>
      </c>
      <c r="D63" s="5" t="inlineStr">
        <is>
          <t>https://www.gazzetta.gr/football/superleague/2026129/egine-pateras-o-mproyno-gkama</t>
        </is>
      </c>
      <c r="E63" s="8" t="inlineStr">
        <is>
          <t>Έγινε πατέρας ο Μπρούνο Γκάμα</t>
        </is>
      </c>
      <c r="F63" s="8" t="inlineStr">
        <is>
          <t>YES</t>
        </is>
      </c>
      <c r="G63" s="8" t="inlineStr">
        <is>
          <t>Bruno Gama</t>
        </is>
      </c>
      <c r="H63" s="8" t="inlineStr">
        <is>
          <t>Aris</t>
        </is>
      </c>
      <c r="I63" s="8" t="inlineStr">
        <is>
          <t>other</t>
        </is>
      </c>
      <c r="J63" s="4" t="n">
        <v>44394</v>
      </c>
      <c r="K63" s="8" t="inlineStr">
        <is>
          <t>exact</t>
        </is>
      </c>
      <c r="L63" s="8" t="n">
        <v>3</v>
      </c>
      <c r="M63" s="8" t="inlineStr">
        <is>
          <t>high</t>
        </is>
      </c>
      <c r="N63" s="6" t="n"/>
      <c r="O63" s="6" t="n"/>
      <c r="P63" s="6" t="n"/>
      <c r="Q63" s="13">
        <f>IF(OR($F63="",$N63=""),"",IF(AND($F63="YES",$N63="YES"),"TP",IF(AND($F63="NO",$N63="YES"),"FP",IF(AND($F63="YES",$N63="NO"),"FN","TN"))))</f>
        <v/>
      </c>
      <c r="R63" s="8" t="n"/>
      <c r="S63" t="inlineStr">
        <is>
          <t>positive</t>
        </is>
      </c>
      <c r="T63" t="inlineStr">
        <is>
          <t>Birth of child</t>
        </is>
      </c>
    </row>
    <row r="64" ht="15" customHeight="1" s="30">
      <c r="A64" s="8" t="inlineStr">
        <is>
          <t>GAZ202</t>
        </is>
      </c>
      <c r="B64" s="4" t="n">
        <v>46190</v>
      </c>
      <c r="C64" s="8" t="inlineStr">
        <is>
          <t>Gazzetta</t>
        </is>
      </c>
      <c r="D64" s="5" t="inlineStr">
        <is>
          <t>https://www.gazzetta.gr/football/superleague/article/1434474/panathinaikos-pantreytike-o-kolovos-pics</t>
        </is>
      </c>
      <c r="E64" s="8" t="inlineStr">
        <is>
          <t>Παναθηναϊκός: Παντρεύτηκε ο Κολοβός (pics)</t>
        </is>
      </c>
      <c r="F64" s="8" t="inlineStr">
        <is>
          <t>YES</t>
        </is>
      </c>
      <c r="G64" s="8" t="inlineStr">
        <is>
          <t>Dimitris Kolovos</t>
        </is>
      </c>
      <c r="H64" s="8" t="inlineStr">
        <is>
          <t>Panathinaikos</t>
        </is>
      </c>
      <c r="I64" s="8" t="inlineStr">
        <is>
          <t>other</t>
        </is>
      </c>
      <c r="J64" s="4" t="n">
        <v>43842</v>
      </c>
      <c r="K64" s="8" t="inlineStr">
        <is>
          <t>exact</t>
        </is>
      </c>
      <c r="L64" s="8" t="n">
        <v>2</v>
      </c>
      <c r="M64" s="8" t="inlineStr">
        <is>
          <t>high</t>
        </is>
      </c>
      <c r="N64" s="6" t="n"/>
      <c r="O64" s="6" t="n"/>
      <c r="P64" s="6" t="n"/>
      <c r="Q64" s="13">
        <f>IF(OR($F64="",$N64=""),"",IF(AND($F64="YES",$N64="YES"),"TP",IF(AND($F64="NO",$N64="YES"),"FP",IF(AND($F64="YES",$N64="NO"),"FN","TN"))))</f>
        <v/>
      </c>
      <c r="R64" s="8" t="n"/>
      <c r="S64" t="inlineStr">
        <is>
          <t>positive</t>
        </is>
      </c>
      <c r="T64" t="inlineStr">
        <is>
          <t>Marriage</t>
        </is>
      </c>
    </row>
    <row r="65" ht="15" customHeight="1" s="30">
      <c r="A65" s="8" t="inlineStr">
        <is>
          <t>GAZ203</t>
        </is>
      </c>
      <c r="B65" s="4" t="n">
        <v>46190</v>
      </c>
      <c r="C65" s="8" t="inlineStr">
        <is>
          <t>Gazzetta</t>
        </is>
      </c>
      <c r="D65" s="5" t="inlineStr">
        <is>
          <t>https://www.gazzetta.gr/football/superleague/2446914/aek-o-mprinioli-egine-pateras-gia-proti-fora</t>
        </is>
      </c>
      <c r="E65" s="8" t="inlineStr">
        <is>
          <t>ΑΕΚ: Ο Μπρινιόλι έγινε πατέρας για πρώτη φορά</t>
        </is>
      </c>
      <c r="F65" s="8" t="inlineStr">
        <is>
          <t>YES</t>
        </is>
      </c>
      <c r="G65" s="8" t="inlineStr">
        <is>
          <t>Alberto Brignoli</t>
        </is>
      </c>
      <c r="H65" s="8" t="inlineStr">
        <is>
          <t>AEK</t>
        </is>
      </c>
      <c r="I65" s="8" t="inlineStr">
        <is>
          <t>other</t>
        </is>
      </c>
      <c r="J65" s="4" t="n">
        <v>45801</v>
      </c>
      <c r="K65" s="8" t="inlineStr">
        <is>
          <t>exact</t>
        </is>
      </c>
      <c r="L65" s="8" t="n">
        <v>3</v>
      </c>
      <c r="M65" s="8" t="inlineStr">
        <is>
          <t>high</t>
        </is>
      </c>
      <c r="N65" s="6" t="n"/>
      <c r="O65" s="6" t="n"/>
      <c r="P65" s="6" t="n"/>
      <c r="Q65" s="13">
        <f>IF(OR($F65="",$N65=""),"",IF(AND($F65="YES",$N65="YES"),"TP",IF(AND($F65="NO",$N65="YES"),"FP",IF(AND($F65="YES",$N65="NO"),"FN","TN"))))</f>
        <v/>
      </c>
      <c r="R65" s="8" t="n"/>
      <c r="S65" t="inlineStr">
        <is>
          <t>positive</t>
        </is>
      </c>
      <c r="T65" t="inlineStr">
        <is>
          <t>Birth of child — distinct from this player's 2023 wedding (SDNA901)</t>
        </is>
      </c>
    </row>
    <row r="66" ht="15" customHeight="1" s="30">
      <c r="A66" s="8" t="inlineStr">
        <is>
          <t>GAZ204</t>
        </is>
      </c>
      <c r="B66" s="4" t="n">
        <v>46190</v>
      </c>
      <c r="C66" s="8" t="inlineStr">
        <is>
          <t>Gazzetta</t>
        </is>
      </c>
      <c r="D66" s="5" t="inlineStr">
        <is>
          <t>https://www.gazzetta.gr/football/superleague/2339417/paok-o-zifkobits-pantreytike-me-ooo-paokara-eho-trela-mesa-sto-myalo</t>
        </is>
      </c>
      <c r="E66" s="8" t="inlineStr">
        <is>
          <t>Ο Ζίφκοβιτς παντρεύτηκε με... «ΩΩΩ ΠΑΟΚάρα, έχω τρέλα μέσα στο μυαλό»</t>
        </is>
      </c>
      <c r="F66" s="8" t="inlineStr">
        <is>
          <t>YES</t>
        </is>
      </c>
      <c r="G66" s="8" t="inlineStr">
        <is>
          <t>Andrija Zivkovic</t>
        </is>
      </c>
      <c r="H66" s="8" t="inlineStr">
        <is>
          <t>PAOK</t>
        </is>
      </c>
      <c r="I66" s="8" t="inlineStr">
        <is>
          <t>other</t>
        </is>
      </c>
      <c r="J66" s="4" t="n">
        <v>45442</v>
      </c>
      <c r="K66" s="8" t="inlineStr">
        <is>
          <t>exact</t>
        </is>
      </c>
      <c r="L66" s="8" t="n">
        <v>3</v>
      </c>
      <c r="M66" s="8" t="inlineStr">
        <is>
          <t>high</t>
        </is>
      </c>
      <c r="N66" s="6" t="n"/>
      <c r="O66" s="6" t="n"/>
      <c r="P66" s="6" t="n"/>
      <c r="Q66" s="13">
        <f>IF(OR($F66="",$N66=""),"",IF(AND($F66="YES",$N66="YES"),"TP",IF(AND($F66="NO",$N66="YES"),"FP",IF(AND($F66="YES",$N66="NO"),"FN","TN"))))</f>
        <v/>
      </c>
      <c r="R66" s="8" t="n"/>
      <c r="S66" t="inlineStr">
        <is>
          <t>positive</t>
        </is>
      </c>
      <c r="T66" t="inlineStr">
        <is>
          <t>Marriage</t>
        </is>
      </c>
    </row>
    <row r="67" ht="15" customHeight="1" s="30">
      <c r="A67" s="8" t="inlineStr">
        <is>
          <t>GAZ205</t>
        </is>
      </c>
      <c r="B67" s="4" t="n">
        <v>46190</v>
      </c>
      <c r="C67" s="8" t="inlineStr">
        <is>
          <t>Gazzetta</t>
        </is>
      </c>
      <c r="D67" s="5" t="inlineStr">
        <is>
          <t>https://www.gazzetta.gr/football/superleague/article/1594918/aek-pantreytike-o-panagiotis-kone-pics</t>
        </is>
      </c>
      <c r="E67" s="8" t="inlineStr">
        <is>
          <t>ΑΕΚ: Παντρεύτηκε ο Παναγιώτης Κονέ (pics)</t>
        </is>
      </c>
      <c r="F67" s="8" t="inlineStr">
        <is>
          <t>YES</t>
        </is>
      </c>
      <c r="G67" s="8" t="inlineStr">
        <is>
          <t>Panagiotis Kone</t>
        </is>
      </c>
      <c r="H67" s="8" t="inlineStr">
        <is>
          <t>AEK</t>
        </is>
      </c>
      <c r="I67" s="8" t="inlineStr">
        <is>
          <t>other</t>
        </is>
      </c>
      <c r="J67" s="4" t="n">
        <v>44336</v>
      </c>
      <c r="K67" s="8" t="inlineStr">
        <is>
          <t>exact</t>
        </is>
      </c>
      <c r="L67" s="8" t="n">
        <v>2</v>
      </c>
      <c r="M67" s="8" t="inlineStr">
        <is>
          <t>medium</t>
        </is>
      </c>
      <c r="N67" s="6" t="n"/>
      <c r="O67" s="6" t="n"/>
      <c r="P67" s="6" t="n"/>
      <c r="Q67" s="13">
        <f>IF(OR($F67="",$N67=""),"",IF(AND($F67="YES",$N67="YES"),"TP",IF(AND($F67="NO",$N67="YES"),"FP",IF(AND($F67="YES",$N67="NO"),"FN","TN"))))</f>
        <v/>
      </c>
      <c r="R67" s="8" t="n"/>
      <c r="S67" t="inlineStr">
        <is>
          <t>positive</t>
        </is>
      </c>
      <c r="T67" t="inlineStr">
        <is>
          <t>Marriage</t>
        </is>
      </c>
    </row>
    <row r="68" ht="15" customHeight="1" s="30">
      <c r="A68" s="8" t="inlineStr">
        <is>
          <t>GAZ206</t>
        </is>
      </c>
      <c r="B68" s="4" t="n">
        <v>46190</v>
      </c>
      <c r="C68" s="8" t="inlineStr">
        <is>
          <t>Gazzetta</t>
        </is>
      </c>
      <c r="D68" s="5" t="inlineStr">
        <is>
          <t>https://www.gazzetta.gr/football/superleague/2392565/panathinaikos-oskar-atyhias-gia-ton-magknoyson</t>
        </is>
      </c>
      <c r="E68" s="8" t="inlineStr">
        <is>
          <t>Παναθηναϊκός: Όσκαρ... ατυχίας για τον Μάγκνουσον</t>
        </is>
      </c>
      <c r="F68" s="8" t="inlineStr">
        <is>
          <t>YES</t>
        </is>
      </c>
      <c r="G68" s="8" t="inlineStr">
        <is>
          <t>Hordur Magnusson</t>
        </is>
      </c>
      <c r="H68" s="8" t="inlineStr">
        <is>
          <t>Panathinaikos</t>
        </is>
      </c>
      <c r="I68" s="8" t="inlineStr">
        <is>
          <t>injury</t>
        </is>
      </c>
      <c r="J68" s="4" t="n">
        <v>45560</v>
      </c>
      <c r="K68" s="8" t="inlineStr">
        <is>
          <t>exact</t>
        </is>
      </c>
      <c r="L68" s="8" t="n">
        <v>4</v>
      </c>
      <c r="M68" s="8" t="inlineStr">
        <is>
          <t>high</t>
        </is>
      </c>
      <c r="N68" s="6" t="n"/>
      <c r="O68" s="6" t="n"/>
      <c r="P68" s="6" t="n"/>
      <c r="Q68" s="13">
        <f>IF(OR($F68="",$N68=""),"",IF(AND($F68="YES",$N68="YES"),"TP",IF(AND($F68="NO",$N68="YES"),"FP",IF(AND($F68="YES",$N68="NO"),"FN","TN"))))</f>
        <v/>
      </c>
      <c r="R68" s="8" t="n"/>
    </row>
    <row r="69" ht="15" customHeight="1" s="30">
      <c r="A69" s="8" t="inlineStr">
        <is>
          <t>GAZ207</t>
        </is>
      </c>
      <c r="B69" s="4" t="n">
        <v>46190</v>
      </c>
      <c r="C69" s="8" t="inlineStr">
        <is>
          <t>Gazzetta</t>
        </is>
      </c>
      <c r="D69" s="12" t="inlineStr">
        <is>
          <t>https://www.gazzetta.gr/football/superleague/2535893/olympiakos-i-hapoel-tel-abib-energopoiise-tin-opsion-toy-laintner</t>
        </is>
      </c>
      <c r="E69" s="8" t="inlineStr">
        <is>
          <t>Ολυμπιακός: Η Χάποελ Τελ Αβίβ ενεργοποίησε την οψιόν του Λάιντνερ</t>
        </is>
      </c>
      <c r="F69" s="8" t="inlineStr">
        <is>
          <t>YES</t>
        </is>
      </c>
      <c r="G69" s="8" t="inlineStr">
        <is>
          <t>Doron Leidner</t>
        </is>
      </c>
      <c r="H69" s="8" t="inlineStr">
        <is>
          <t>Olympiakos</t>
        </is>
      </c>
      <c r="I69" s="8" t="inlineStr">
        <is>
          <t>injury</t>
        </is>
      </c>
      <c r="J69" s="4" t="n">
        <v>45200</v>
      </c>
      <c r="K69" s="8" t="inlineStr">
        <is>
          <t>approximate</t>
        </is>
      </c>
      <c r="L69" s="8" t="n">
        <v>3</v>
      </c>
      <c r="M69" s="8" t="inlineStr">
        <is>
          <t>medium</t>
        </is>
      </c>
      <c r="N69" s="6" t="n"/>
      <c r="O69" s="6" t="n"/>
      <c r="P69" s="6" t="n"/>
      <c r="Q69" s="13">
        <f>IF(OR($F69="",$N69=""),"",IF(AND($F69="YES",$N69="YES"),"TP",IF(AND($F69="NO",$N69="YES"),"FP",IF(AND($F69="YES",$N69="NO"),"FN","TN"))))</f>
        <v/>
      </c>
      <c r="R69" s="8" t="n"/>
    </row>
    <row r="70" ht="15" customHeight="1" s="30">
      <c r="A70" s="8" t="inlineStr">
        <is>
          <t>GAZ301</t>
        </is>
      </c>
      <c r="B70" s="4" t="n">
        <v>46190</v>
      </c>
      <c r="C70" s="8" t="inlineStr">
        <is>
          <t>Gazzetta</t>
        </is>
      </c>
      <c r="D70" s="5" t="inlineStr">
        <is>
          <t>https://www.gazzetta.gr/football/superleague/2525981/aek-traymatistike-ston-astragalo-o-bargka</t>
        </is>
      </c>
      <c r="E70" s="8" t="inlineStr">
        <is>
          <t>ΑΕΚ: Τραυματίστηκε στον αστράγαλο ο Βάργκα</t>
        </is>
      </c>
      <c r="F70" s="8" t="inlineStr">
        <is>
          <t>YES</t>
        </is>
      </c>
      <c r="G70" s="8" t="inlineStr">
        <is>
          <t>Barnabas Varga</t>
        </is>
      </c>
      <c r="H70" s="8" t="inlineStr">
        <is>
          <t>AEK</t>
        </is>
      </c>
      <c r="I70" s="8" t="inlineStr">
        <is>
          <t>injury</t>
        </is>
      </c>
      <c r="J70" s="4" t="n">
        <v>46102</v>
      </c>
      <c r="K70" s="8" t="inlineStr">
        <is>
          <t>exact</t>
        </is>
      </c>
      <c r="L70" s="8" t="n">
        <v>3</v>
      </c>
      <c r="M70" s="8" t="inlineStr">
        <is>
          <t>high</t>
        </is>
      </c>
      <c r="N70" s="6" t="n"/>
      <c r="O70" s="6" t="n"/>
      <c r="P70" s="6" t="n"/>
      <c r="Q70" s="13">
        <f>IF(OR($F70="",$N70=""),"",IF(AND($F70="YES",$N70="YES"),"TP",IF(AND($F70="NO",$N70="YES"),"FP",IF(AND($F70="YES",$N70="NO"),"FN","TN"))))</f>
        <v/>
      </c>
      <c r="R70" s="8" t="n"/>
    </row>
    <row r="71" ht="15" customHeight="1" s="30">
      <c r="A71" s="8" t="inlineStr">
        <is>
          <t>GAZ302</t>
        </is>
      </c>
      <c r="B71" s="4" t="n">
        <v>46190</v>
      </c>
      <c r="C71" s="8" t="inlineStr">
        <is>
          <t>Gazzetta</t>
        </is>
      </c>
      <c r="D71" s="5" t="inlineStr">
        <is>
          <t>https://www.gazzetta.gr/football/superleague/2424317/olympiakos-apefygan-ti-baria-thlasi-oi-el-kampi-kai-orta-stoheyoyn</t>
        </is>
      </c>
      <c r="E71" s="8" t="inlineStr">
        <is>
          <t>Ολυμπιακός: Απέφυγαν τη βαριά θλάση οι Ελ Καμπί και Όρτα, στοχεύουν κυρίως στο 2ο ματς με τη Μπόντο</t>
        </is>
      </c>
      <c r="F71" s="8" t="inlineStr">
        <is>
          <t>YES</t>
        </is>
      </c>
      <c r="G71" s="8" t="inlineStr">
        <is>
          <t>Ayoub El Kaabi</t>
        </is>
      </c>
      <c r="H71" s="8" t="inlineStr">
        <is>
          <t>Olympiakos</t>
        </is>
      </c>
      <c r="I71" s="8" t="inlineStr">
        <is>
          <t>injury</t>
        </is>
      </c>
      <c r="J71" s="4" t="n">
        <v>45715</v>
      </c>
      <c r="K71" s="8" t="inlineStr">
        <is>
          <t>exact</t>
        </is>
      </c>
      <c r="L71" s="8" t="n">
        <v>1</v>
      </c>
      <c r="M71" s="8" t="inlineStr">
        <is>
          <t>high</t>
        </is>
      </c>
      <c r="N71" s="6" t="n"/>
      <c r="O71" s="6" t="n"/>
      <c r="P71" s="6" t="n"/>
      <c r="Q71" s="13">
        <f>IF(OR($F71="",$N71=""),"",IF(AND($F71="YES",$N71="YES"),"TP",IF(AND($F71="NO",$N71="YES"),"FP",IF(AND($F71="YES",$N71="NO"),"FN","TN"))))</f>
        <v/>
      </c>
      <c r="R71" s="8" t="n"/>
    </row>
    <row r="72" ht="15" customHeight="1" s="30">
      <c r="A72" s="8" t="inlineStr">
        <is>
          <t>GAZ303</t>
        </is>
      </c>
      <c r="B72" s="4" t="n">
        <v>46190</v>
      </c>
      <c r="C72" s="8" t="inlineStr">
        <is>
          <t>Gazzetta</t>
        </is>
      </c>
      <c r="D72" s="5" t="inlineStr">
        <is>
          <t>https://www.gazzetta.gr/football/superleague/2424317/olympiakos-apefygan-ti-baria-thlasi-oi-el-kampi-kai-orta-stoheyoyn</t>
        </is>
      </c>
      <c r="E72" s="8" t="inlineStr">
        <is>
          <t>Ολυμπιακός: Απέφυγαν τη βαριά θλάση οι Ελ Καμπί και Όρτα, στοχεύουν κυρίως στο 2ο ματς με τη Μπόντο</t>
        </is>
      </c>
      <c r="F72" s="8" t="inlineStr">
        <is>
          <t>YES</t>
        </is>
      </c>
      <c r="G72" s="8" t="inlineStr">
        <is>
          <t>Gonzalo Orta</t>
        </is>
      </c>
      <c r="H72" s="8" t="inlineStr">
        <is>
          <t>Olympiakos</t>
        </is>
      </c>
      <c r="I72" s="8" t="inlineStr">
        <is>
          <t>injury</t>
        </is>
      </c>
      <c r="J72" s="4" t="n">
        <v>45715</v>
      </c>
      <c r="K72" s="8" t="inlineStr">
        <is>
          <t>exact</t>
        </is>
      </c>
      <c r="L72" s="8" t="n">
        <v>1</v>
      </c>
      <c r="M72" s="8" t="inlineStr">
        <is>
          <t>medium</t>
        </is>
      </c>
      <c r="N72" s="6" t="n"/>
      <c r="O72" s="6" t="n"/>
      <c r="P72" s="6" t="n"/>
      <c r="Q72" s="13">
        <f>IF(OR($F72="",$N72=""),"",IF(AND($F72="YES",$N72="YES"),"TP",IF(AND($F72="NO",$N72="YES"),"FP",IF(AND($F72="YES",$N72="NO"),"FN","TN"))))</f>
        <v/>
      </c>
      <c r="R72" s="8" t="n"/>
    </row>
    <row r="73" ht="15" customHeight="1" s="30">
      <c r="A73" s="8" t="inlineStr">
        <is>
          <t>GAZ304</t>
        </is>
      </c>
      <c r="B73" s="4" t="n">
        <v>46190</v>
      </c>
      <c r="C73" s="8" t="inlineStr">
        <is>
          <t>Gazzetta</t>
        </is>
      </c>
      <c r="D73" s="5" t="inlineStr">
        <is>
          <t>https://www.gazzetta.gr/football/superleague/2380932/panathinaikos-symperiferetai-os-syllogos-megalos-alla-ola-tha-einai</t>
        </is>
      </c>
      <c r="E73" s="8" t="inlineStr">
        <is>
          <t>Ο Παναθηναϊκός συμπεριφέρεται ως σύλλογος μεγάλος, μα όλα θα είναι πολύ πιο δύσκολα...</t>
        </is>
      </c>
      <c r="F73" s="8" t="inlineStr">
        <is>
          <t>YES</t>
        </is>
      </c>
      <c r="G73" s="8" t="inlineStr">
        <is>
          <t>George Baldock</t>
        </is>
      </c>
      <c r="H73" s="8" t="inlineStr">
        <is>
          <t>Panathinaikos (former player)</t>
        </is>
      </c>
      <c r="I73" s="8" t="inlineStr">
        <is>
          <t>other</t>
        </is>
      </c>
      <c r="J73" s="4" t="n">
        <v>45574</v>
      </c>
      <c r="K73" s="8" t="inlineStr">
        <is>
          <t>exact</t>
        </is>
      </c>
      <c r="L73" s="8" t="n">
        <v>5</v>
      </c>
      <c r="M73" s="8" t="inlineStr">
        <is>
          <t>medium</t>
        </is>
      </c>
      <c r="N73" s="6" t="n"/>
      <c r="O73" s="6" t="n"/>
      <c r="P73" s="6" t="n"/>
      <c r="Q73" s="13">
        <f>IF(OR($F73="",$N73=""),"",IF(AND($F73="YES",$N73="YES"),"TP",IF(AND($F73="NO",$N73="YES"),"FP",IF(AND($F73="YES",$N73="NO"),"FN","TN"))))</f>
        <v/>
      </c>
      <c r="R73" s="8" t="n"/>
      <c r="S73" t="inlineStr">
        <is>
          <t>ambiguous</t>
        </is>
      </c>
      <c r="T73" t="inlineStr">
        <is>
          <t>Cryptic headline, severity=5 but player tagged "former player" of a club he is not on record as having played for — possible mislabel, needs source check</t>
        </is>
      </c>
    </row>
    <row r="74" ht="15" customHeight="1" s="30">
      <c r="A74" s="8" t="inlineStr">
        <is>
          <t>GAZ401</t>
        </is>
      </c>
      <c r="B74" s="4" t="n">
        <v>46190</v>
      </c>
      <c r="C74" s="8" t="inlineStr">
        <is>
          <t>Gazzetta</t>
        </is>
      </c>
      <c r="D74" s="5" t="inlineStr">
        <is>
          <t>https://www.gazzetta.gr/football/superleague/2317788/paok-pethane-o-pateras-toy-gianni-mihailidi-ta-syllypitiria-toy</t>
        </is>
      </c>
      <c r="E74" s="8" t="inlineStr">
        <is>
          <t>Πέθανε ο πατέρας του Γιάννη Μιχαηλίδη, τα συλλυπητήρια του ΠΑΟΚ</t>
        </is>
      </c>
      <c r="F74" s="8" t="inlineStr">
        <is>
          <t>YES</t>
        </is>
      </c>
      <c r="G74" s="8" t="inlineStr">
        <is>
          <t>Giannis Michailidis</t>
        </is>
      </c>
      <c r="H74" s="8" t="inlineStr">
        <is>
          <t>PAOK</t>
        </is>
      </c>
      <c r="I74" s="8" t="inlineStr">
        <is>
          <t>bereavement</t>
        </is>
      </c>
      <c r="J74" s="4" t="n">
        <v>45373</v>
      </c>
      <c r="K74" s="8" t="inlineStr">
        <is>
          <t>exact</t>
        </is>
      </c>
      <c r="L74" s="8" t="n">
        <v>5</v>
      </c>
      <c r="M74" s="8" t="inlineStr">
        <is>
          <t>high</t>
        </is>
      </c>
      <c r="N74" s="6" t="n"/>
      <c r="O74" s="6" t="n"/>
      <c r="P74" s="6" t="n"/>
      <c r="Q74" s="13">
        <f>IF(OR($F74="",$N74=""),"",IF(AND($F74="YES",$N74="YES"),"TP",IF(AND($F74="NO",$N74="YES"),"FP",IF(AND($F74="YES",$N74="NO"),"FN","TN"))))</f>
        <v/>
      </c>
      <c r="R74" s="8" t="n"/>
    </row>
    <row r="75" ht="15" customHeight="1" s="30">
      <c r="A75" s="8" t="inlineStr">
        <is>
          <t>GAZ402</t>
        </is>
      </c>
      <c r="B75" s="4" t="n">
        <v>46190</v>
      </c>
      <c r="C75" s="8" t="inlineStr">
        <is>
          <t>Gazzetta</t>
        </is>
      </c>
      <c r="D75" s="5" t="inlineStr">
        <is>
          <t>https://www.gazzetta.gr/football/superleague/2460066/panathinaikos-rixi-hiastoy-o-kyriopoylos-mpainei-amesa-sto-heiroyrgeio</t>
        </is>
      </c>
      <c r="E75" s="8" t="inlineStr">
        <is>
          <t>Παναθηναϊκός: Ρήξη χιαστού ο Κυριόπουλος, μπαίνει άμεσα στο χειρουργείο!</t>
        </is>
      </c>
      <c r="F75" s="8" t="inlineStr">
        <is>
          <t>YES</t>
        </is>
      </c>
      <c r="G75" s="8" t="inlineStr">
        <is>
          <t>Giorgos Kyriopoulos</t>
        </is>
      </c>
      <c r="H75" s="8" t="inlineStr">
        <is>
          <t>Panathinaikos</t>
        </is>
      </c>
      <c r="I75" s="8" t="inlineStr">
        <is>
          <t>injury</t>
        </is>
      </c>
      <c r="J75" s="4" t="n">
        <v>45855</v>
      </c>
      <c r="K75" s="8" t="inlineStr">
        <is>
          <t>exact</t>
        </is>
      </c>
      <c r="L75" s="8" t="n">
        <v>5</v>
      </c>
      <c r="M75" s="8" t="inlineStr">
        <is>
          <t>high</t>
        </is>
      </c>
      <c r="N75" s="6" t="n"/>
      <c r="O75" s="6" t="n"/>
      <c r="P75" s="6" t="n"/>
      <c r="Q75" s="13">
        <f>IF(OR($F75="",$N75=""),"",IF(AND($F75="YES",$N75="YES"),"TP",IF(AND($F75="NO",$N75="YES"),"FP",IF(AND($F75="YES",$N75="NO"),"FN","TN"))))</f>
        <v/>
      </c>
      <c r="R75" s="8" t="n"/>
    </row>
    <row r="76" ht="15" customHeight="1" s="30">
      <c r="A76" s="8" t="inlineStr">
        <is>
          <t>GAZ403</t>
        </is>
      </c>
      <c r="B76" s="4" t="n">
        <v>46190</v>
      </c>
      <c r="C76" s="8" t="inlineStr">
        <is>
          <t>Gazzetta</t>
        </is>
      </c>
      <c r="D76" s="5" t="inlineStr">
        <is>
          <t>https://www.gazzetta.gr/football/superleague/2384856/olympiakos-epibebaiothike-i-rixi-hiastoy-toy-giazitsi</t>
        </is>
      </c>
      <c r="E76" s="8" t="inlineStr">
        <is>
          <t>Επιβεβαιώθηκε η ρήξη χιαστού του Γιαζίτσι, τέλος η σεζόν...</t>
        </is>
      </c>
      <c r="F76" s="8" t="inlineStr">
        <is>
          <t>YES</t>
        </is>
      </c>
      <c r="G76" s="8" t="inlineStr">
        <is>
          <t>Yusuf Yazici</t>
        </is>
      </c>
      <c r="H76" s="8" t="inlineStr">
        <is>
          <t>Olympiakos</t>
        </is>
      </c>
      <c r="I76" s="8" t="inlineStr">
        <is>
          <t>injury</t>
        </is>
      </c>
      <c r="J76" s="4" t="n">
        <v>45592</v>
      </c>
      <c r="K76" s="8" t="inlineStr">
        <is>
          <t>exact</t>
        </is>
      </c>
      <c r="L76" s="8" t="n">
        <v>5</v>
      </c>
      <c r="M76" s="8" t="inlineStr">
        <is>
          <t>high</t>
        </is>
      </c>
      <c r="N76" s="6" t="n"/>
      <c r="O76" s="6" t="n"/>
      <c r="P76" s="6" t="n"/>
      <c r="Q76" s="13">
        <f>IF(OR($F76="",$N76=""),"",IF(AND($F76="YES",$N76="YES"),"TP",IF(AND($F76="NO",$N76="YES"),"FP",IF(AND($F76="YES",$N76="NO"),"FN","TN"))))</f>
        <v/>
      </c>
      <c r="R76" s="8" t="n"/>
    </row>
    <row r="77" ht="15" customHeight="1" s="30">
      <c r="A77" s="8" t="inlineStr">
        <is>
          <t>GAZ404</t>
        </is>
      </c>
      <c r="B77" s="4" t="n">
        <v>46190</v>
      </c>
      <c r="C77" s="8" t="inlineStr">
        <is>
          <t>Gazzetta</t>
        </is>
      </c>
      <c r="D77" s="5" t="inlineStr">
        <is>
          <t>https://www.gazzetta.gr/football/superleague/2294027/almperto-mprinioli-25-hronia-me-polla-ups-kai-elahista-downs-vid</t>
        </is>
      </c>
      <c r="E77" s="8" t="inlineStr">
        <is>
          <t>Αλμπέρτο Μπρινιόλι: 2,5 χρόνια με πολλά ups και ελάχιστα downs (vid)</t>
        </is>
      </c>
      <c r="F77" s="8" t="inlineStr">
        <is>
          <t>NO</t>
        </is>
      </c>
      <c r="G77" s="8" t="inlineStr">
        <is>
          <t>Alberto Brignoli</t>
        </is>
      </c>
      <c r="H77" s="8" t="inlineStr">
        <is>
          <t>AEK</t>
        </is>
      </c>
      <c r="I77" s="8" t="inlineStr">
        <is>
          <t>transfer_rumor</t>
        </is>
      </c>
      <c r="J77" s="4" t="n">
        <v>45304</v>
      </c>
      <c r="K77" s="8" t="inlineStr">
        <is>
          <t>exact</t>
        </is>
      </c>
      <c r="L77" s="8" t="n">
        <v>2</v>
      </c>
      <c r="M77" s="8" t="inlineStr">
        <is>
          <t>high</t>
        </is>
      </c>
      <c r="N77" s="6" t="n"/>
      <c r="O77" s="6" t="n"/>
      <c r="P77" s="6" t="n"/>
      <c r="Q77" s="13">
        <f>IF(OR($F77="",$N77=""),"",IF(AND($F77="YES",$N77="YES"),"TP",IF(AND($F77="NO",$N77="YES"),"FP",IF(AND($F77="YES",$N77="NO"),"FN","TN"))))</f>
        <v/>
      </c>
      <c r="R77" s="8" t="n"/>
    </row>
    <row r="78" ht="15" customHeight="1" s="30">
      <c r="A78" s="8" t="inlineStr">
        <is>
          <t>GAZ501</t>
        </is>
      </c>
      <c r="B78" s="4" t="n">
        <v>46190</v>
      </c>
      <c r="C78" s="8" t="inlineStr">
        <is>
          <t>Gazzetta</t>
        </is>
      </c>
      <c r="D78" s="5" t="inlineStr">
        <is>
          <t>https://www.gazzetta.gr/football/superleague/2375311/koyesta-einai-exairetiko-synaisthima</t>
        </is>
      </c>
      <c r="E78" s="8" t="inlineStr">
        <is>
          <t>Κουέστα: «Είναι εξαιρετικό το συναίσθημα»</t>
        </is>
      </c>
      <c r="F78" s="8" t="inlineStr">
        <is>
          <t>YES</t>
        </is>
      </c>
      <c r="G78" s="8" t="inlineStr">
        <is>
          <t>Julian Cuesta</t>
        </is>
      </c>
      <c r="H78" s="8" t="inlineStr">
        <is>
          <t>Aris</t>
        </is>
      </c>
      <c r="I78" s="8" t="inlineStr">
        <is>
          <t>other</t>
        </is>
      </c>
      <c r="J78" s="4" t="n">
        <v>45563</v>
      </c>
      <c r="K78" s="8" t="inlineStr">
        <is>
          <t>exact</t>
        </is>
      </c>
      <c r="L78" s="8" t="n">
        <v>2</v>
      </c>
      <c r="M78" s="8" t="inlineStr">
        <is>
          <t>high</t>
        </is>
      </c>
      <c r="N78" s="6" t="n"/>
      <c r="O78" s="6" t="n"/>
      <c r="P78" s="6" t="n"/>
      <c r="Q78" s="13">
        <f>IF(OR($F78="",$N78=""),"",IF(AND($F78="YES",$N78="YES"),"TP",IF(AND($F78="NO",$N78="YES"),"FP",IF(AND($F78="YES",$N78="NO"),"FN","TN"))))</f>
        <v/>
      </c>
      <c r="R78" s="8" t="n"/>
      <c r="S78" t="inlineStr">
        <is>
          <t>drop_duplicate</t>
        </is>
      </c>
      <c r="T78" t="inlineStr">
        <is>
          <t>Duplicate of GAZ104, same date, follow-up quote on same birth</t>
        </is>
      </c>
    </row>
    <row r="79" ht="15" customHeight="1" s="30">
      <c r="A79" s="8" t="inlineStr">
        <is>
          <t>GAZ502</t>
        </is>
      </c>
      <c r="B79" s="4" t="n">
        <v>46190</v>
      </c>
      <c r="C79" s="8" t="inlineStr">
        <is>
          <t>Gazzetta</t>
        </is>
      </c>
      <c r="D79" s="5" t="inlineStr">
        <is>
          <t>https://www.gazzetta.gr/football/superleague/2547718/paolo-fernantes-eho-stin-kardia-moy-tin-aek-alla-thelo-na-paizo-tha</t>
        </is>
      </c>
      <c r="E79" s="8" t="inlineStr">
        <is>
          <t>Πάολο Φερνάντες: «Έχω στην καρδιά μου την ΑΕΚ αλλά θέλω να παίζω, θα μιλήσουμε για το τι θα συμβεί»</t>
        </is>
      </c>
      <c r="F79" s="8" t="inlineStr">
        <is>
          <t>YES</t>
        </is>
      </c>
      <c r="G79" s="8" t="inlineStr">
        <is>
          <t>Paolo Fernandes</t>
        </is>
      </c>
      <c r="H79" s="8" t="inlineStr">
        <is>
          <t>AEK</t>
        </is>
      </c>
      <c r="I79" s="8" t="inlineStr">
        <is>
          <t>transfer_rumor</t>
        </is>
      </c>
      <c r="J79" s="4" t="n">
        <v>46189</v>
      </c>
      <c r="K79" s="8" t="inlineStr">
        <is>
          <t>exact</t>
        </is>
      </c>
      <c r="L79" s="8" t="n">
        <v>3</v>
      </c>
      <c r="M79" s="8" t="inlineStr">
        <is>
          <t>medium</t>
        </is>
      </c>
      <c r="N79" s="6" t="n"/>
      <c r="O79" s="6" t="n"/>
      <c r="P79" s="6" t="n"/>
      <c r="Q79" s="13">
        <f>IF(OR($F79="",$N79=""),"",IF(AND($F79="YES",$N79="YES"),"TP",IF(AND($F79="NO",$N79="YES"),"FP",IF(AND($F79="YES",$N79="NO"),"FN","TN"))))</f>
        <v/>
      </c>
      <c r="R79" s="8" t="n"/>
    </row>
    <row r="80" ht="15" customHeight="1" s="30">
      <c r="A80" s="8" t="inlineStr">
        <is>
          <t>SDOG001</t>
        </is>
      </c>
      <c r="B80" s="4" t="n">
        <v>46190</v>
      </c>
      <c r="C80" s="8" t="inlineStr">
        <is>
          <t>Sportdog</t>
        </is>
      </c>
      <c r="D80" s="5" t="inlineStr">
        <is>
          <t>https://www.sportdog.gr/podosfairo/superleague/951443/paok-h-eksomologhsh-ntespontof-gia-ton-traymatismo-toy</t>
        </is>
      </c>
      <c r="E80" s="8" t="inlineStr">
        <is>
          <t>ΠΑΟΚ: Η εξομολόγηση Ντεσπόντοφ για τον τραυματισμό του!</t>
        </is>
      </c>
      <c r="F80" s="8" t="inlineStr">
        <is>
          <t>YES</t>
        </is>
      </c>
      <c r="G80" s="8" t="inlineStr">
        <is>
          <t>Kiril Despodov</t>
        </is>
      </c>
      <c r="H80" s="8" t="inlineStr">
        <is>
          <t>PAOK</t>
        </is>
      </c>
      <c r="I80" s="8" t="inlineStr">
        <is>
          <t>injury</t>
        </is>
      </c>
      <c r="J80" s="4" t="n">
        <v>46172</v>
      </c>
      <c r="K80" s="8" t="inlineStr">
        <is>
          <t>approximate</t>
        </is>
      </c>
      <c r="L80" s="8" t="n">
        <v>4</v>
      </c>
      <c r="M80" s="8" t="inlineStr">
        <is>
          <t>high</t>
        </is>
      </c>
      <c r="N80" s="6" t="n"/>
      <c r="O80" s="6" t="n"/>
      <c r="P80" s="6" t="n"/>
      <c r="Q80" s="13">
        <f>IF(OR($F80="",$N80=""),"",IF(AND($F80="YES",$N80="YES"),"TP",IF(AND($F80="NO",$N80="YES"),"FP",IF(AND($F80="YES",$N80="NO"),"FN","TN"))))</f>
        <v/>
      </c>
      <c r="R80" s="8" t="n"/>
    </row>
    <row r="81" ht="15" customHeight="1" s="30">
      <c r="A81" s="8" t="inlineStr">
        <is>
          <t>SDOG003</t>
        </is>
      </c>
      <c r="B81" s="4" t="n">
        <v>46190</v>
      </c>
      <c r="C81" s="8" t="inlineStr">
        <is>
          <t>Sportdog</t>
        </is>
      </c>
      <c r="D81" s="8" t="inlineStr">
        <is>
          <t>https://www.sportdog.gr/podosfairo/superleague/914998/%CE%9C%CF%80%CE%B1%CF%81%CF%84%CE%B6%CF%8E%CE%BA%CE%B1%CF%82:%20%C2%AB%CE% ...</t>
        </is>
      </c>
      <c r="E81" s="8" t="inlineStr">
        <is>
          <t>ΠΑΟΚ: Τραυματισμός - σοκ για μεταγραφικό στόχο στην Γκρέμιο</t>
        </is>
      </c>
      <c r="F81" s="8" t="inlineStr">
        <is>
          <t>YES</t>
        </is>
      </c>
      <c r="G81" s="8" t="inlineStr">
        <is>
          <t>Martin Braithwaite</t>
        </is>
      </c>
      <c r="H81" s="8" t="inlineStr">
        <is>
          <t>PAOK</t>
        </is>
      </c>
      <c r="I81" s="8" t="inlineStr">
        <is>
          <t>injury</t>
        </is>
      </c>
      <c r="J81" s="4" t="n">
        <v>45937</v>
      </c>
      <c r="K81" s="8" t="inlineStr">
        <is>
          <t>approximate</t>
        </is>
      </c>
      <c r="L81" s="8" t="n">
        <v>4</v>
      </c>
      <c r="M81" s="8" t="inlineStr">
        <is>
          <t>medium</t>
        </is>
      </c>
      <c r="N81" s="6" t="n"/>
      <c r="O81" s="6" t="n"/>
      <c r="P81" s="6" t="n"/>
      <c r="Q81" s="13">
        <f>IF(OR($F81="",$N81=""),"",IF(AND($F81="YES",$N81="YES"),"TP",IF(AND($F81="NO",$N81="YES"),"FP",IF(AND($F81="YES",$N81="NO"),"FN","TN"))))</f>
        <v/>
      </c>
      <c r="R81" s="8" t="n"/>
    </row>
    <row r="82" ht="15" customHeight="1" s="30">
      <c r="A82" s="8" t="inlineStr">
        <is>
          <t>SDOG004</t>
        </is>
      </c>
      <c r="B82" s="4" t="n">
        <v>46190</v>
      </c>
      <c r="C82" s="8" t="inlineStr">
        <is>
          <t>Sportdog</t>
        </is>
      </c>
      <c r="D82" s="5" t="inlineStr">
        <is>
          <t>https://www.sportdog.gr/podosfairo/superleague/939091/paok-h-aktinografia-loytseskoy-gia-toys-traymaties</t>
        </is>
      </c>
      <c r="E82" s="8" t="inlineStr">
        <is>
          <t>Η ακτινογραφία Λουτσέσκου για τους τραυματίες στον ΠΑΟΚ</t>
        </is>
      </c>
      <c r="F82" s="8" t="inlineStr">
        <is>
          <t>YES</t>
        </is>
      </c>
      <c r="G82" s="8" t="inlineStr">
        <is>
          <t>Giorgos Giakoumakis</t>
        </is>
      </c>
      <c r="H82" s="8" t="inlineStr">
        <is>
          <t>PAOK</t>
        </is>
      </c>
      <c r="I82" s="8" t="inlineStr">
        <is>
          <t>injury</t>
        </is>
      </c>
      <c r="J82" s="4" t="n">
        <v>46089</v>
      </c>
      <c r="K82" s="8" t="inlineStr">
        <is>
          <t>approximate</t>
        </is>
      </c>
      <c r="L82" s="8" t="n">
        <v>2</v>
      </c>
      <c r="M82" s="8" t="inlineStr">
        <is>
          <t>medium</t>
        </is>
      </c>
      <c r="N82" s="6" t="n"/>
      <c r="O82" s="6" t="n"/>
      <c r="P82" s="6" t="n"/>
      <c r="Q82" s="13">
        <f>IF(OR($F82="",$N82=""),"",IF(AND($F82="YES",$N82="YES"),"TP",IF(AND($F82="NO",$N82="YES"),"FP",IF(AND($F82="YES",$N82="NO"),"FN","TN"))))</f>
        <v/>
      </c>
      <c r="R82" s="8" t="n"/>
    </row>
    <row r="83" ht="15" customHeight="1" s="30">
      <c r="A83" s="8" t="inlineStr">
        <is>
          <t>SDOG005</t>
        </is>
      </c>
      <c r="B83" s="4" t="n">
        <v>46190</v>
      </c>
      <c r="C83" s="8" t="inlineStr">
        <is>
          <t>Sportdog</t>
        </is>
      </c>
      <c r="D83" s="5" t="inlineStr">
        <is>
          <t>https://www.sportdog.gr/podosfairo/superleague/939091/paok-h-aktinografia-loytseskoy-gia-toys-traymaties</t>
        </is>
      </c>
      <c r="E83" s="8" t="inlineStr">
        <is>
          <t>Η ακτινογραφία Λουτσέσκου για τους τραυματίες στον ΠΑΟΚ</t>
        </is>
      </c>
      <c r="F83" s="8" t="inlineStr">
        <is>
          <t>YES</t>
        </is>
      </c>
      <c r="G83" s="8" t="inlineStr">
        <is>
          <t>Jonjoe Kenny</t>
        </is>
      </c>
      <c r="H83" s="8" t="inlineStr">
        <is>
          <t>PAOK</t>
        </is>
      </c>
      <c r="I83" s="8" t="inlineStr">
        <is>
          <t>injury</t>
        </is>
      </c>
      <c r="J83" s="4" t="n">
        <v>46089</v>
      </c>
      <c r="K83" s="8" t="inlineStr">
        <is>
          <t>approximate</t>
        </is>
      </c>
      <c r="L83" s="8" t="n">
        <v>2</v>
      </c>
      <c r="M83" s="8" t="inlineStr">
        <is>
          <t>medium</t>
        </is>
      </c>
      <c r="N83" s="6" t="n"/>
      <c r="O83" s="6" t="n"/>
      <c r="P83" s="6" t="n"/>
      <c r="Q83" s="13">
        <f>IF(OR($F83="",$N83=""),"",IF(AND($F83="YES",$N83="YES"),"TP",IF(AND($F83="NO",$N83="YES"),"FP",IF(AND($F83="YES",$N83="NO"),"FN","TN"))))</f>
        <v/>
      </c>
      <c r="R83" s="8" t="n"/>
    </row>
    <row r="84" ht="15" customHeight="1" s="30">
      <c r="A84" s="8" t="inlineStr">
        <is>
          <t>SDOG006</t>
        </is>
      </c>
      <c r="B84" s="4" t="n">
        <v>46190</v>
      </c>
      <c r="C84" s="8" t="inlineStr">
        <is>
          <t>Sportdog</t>
        </is>
      </c>
      <c r="D84" s="5" t="inlineStr">
        <is>
          <t>https://www.sportdog.gr/podosfairo/superleague/939091/paok-h-aktinografia-loytseskoy-gia-toys-traymaties</t>
        </is>
      </c>
      <c r="E84" s="8" t="inlineStr">
        <is>
          <t>Η ακτινογραφία Λουτσέσκου για τους τραυματίες στον ΠΑΟΚ</t>
        </is>
      </c>
      <c r="F84" s="8" t="inlineStr">
        <is>
          <t>YES</t>
        </is>
      </c>
      <c r="G84" s="8" t="inlineStr">
        <is>
          <t>Dimitris Pelkas</t>
        </is>
      </c>
      <c r="H84" s="8" t="inlineStr">
        <is>
          <t>PAOK</t>
        </is>
      </c>
      <c r="I84" s="8" t="inlineStr">
        <is>
          <t>injury</t>
        </is>
      </c>
      <c r="J84" s="4" t="n">
        <v>46089</v>
      </c>
      <c r="K84" s="8" t="inlineStr">
        <is>
          <t>approximate</t>
        </is>
      </c>
      <c r="L84" s="8" t="n">
        <v>2</v>
      </c>
      <c r="M84" s="8" t="inlineStr">
        <is>
          <t>medium</t>
        </is>
      </c>
      <c r="N84" s="6" t="n"/>
      <c r="O84" s="6" t="n"/>
      <c r="P84" s="6" t="n"/>
      <c r="Q84" s="13">
        <f>IF(OR($F84="",$N84=""),"",IF(AND($F84="YES",$N84="YES"),"TP",IF(AND($F84="NO",$N84="YES"),"FP",IF(AND($F84="YES",$N84="NO"),"FN","TN"))))</f>
        <v/>
      </c>
      <c r="R84" s="8" t="n"/>
    </row>
    <row r="85" ht="15" customHeight="1" s="30">
      <c r="A85" s="8" t="inlineStr">
        <is>
          <t>SDOG007</t>
        </is>
      </c>
      <c r="B85" s="4" t="n">
        <v>46190</v>
      </c>
      <c r="C85" s="8" t="inlineStr">
        <is>
          <t>Sportdog</t>
        </is>
      </c>
      <c r="D85" s="5" t="inlineStr">
        <is>
          <t>https://www.sportdog.gr/podosfairo/superleague/939091/paok-h-aktinografia-loytseskoy-gia-toys-traymaties</t>
        </is>
      </c>
      <c r="E85" s="8" t="inlineStr">
        <is>
          <t>Η ακτινογραφία Λουτσέσκου για τους τραυματίες στον ΠΑΟΚ</t>
        </is>
      </c>
      <c r="F85" s="8" t="inlineStr">
        <is>
          <t>YES</t>
        </is>
      </c>
      <c r="G85" s="8" t="inlineStr">
        <is>
          <t>Jiri Pavlenka</t>
        </is>
      </c>
      <c r="H85" s="8" t="inlineStr">
        <is>
          <t>PAOK</t>
        </is>
      </c>
      <c r="I85" s="8" t="inlineStr">
        <is>
          <t>injury</t>
        </is>
      </c>
      <c r="J85" s="4" t="n">
        <v>46089</v>
      </c>
      <c r="K85" s="8" t="inlineStr">
        <is>
          <t>approximate</t>
        </is>
      </c>
      <c r="L85" s="8" t="n">
        <v>2</v>
      </c>
      <c r="M85" s="8" t="inlineStr">
        <is>
          <t>medium</t>
        </is>
      </c>
      <c r="N85" s="6" t="n"/>
      <c r="O85" s="6" t="n"/>
      <c r="P85" s="6" t="n"/>
      <c r="Q85" s="13">
        <f>IF(OR($F85="",$N85=""),"",IF(AND($F85="YES",$N85="YES"),"TP",IF(AND($F85="NO",$N85="YES"),"FP",IF(AND($F85="YES",$N85="NO"),"FN","TN"))))</f>
        <v/>
      </c>
      <c r="R85" s="8" t="n"/>
    </row>
    <row r="86" ht="15" customHeight="1" s="30">
      <c r="A86" s="8" t="inlineStr">
        <is>
          <t>SDOG008</t>
        </is>
      </c>
      <c r="B86" s="4" t="n">
        <v>46190</v>
      </c>
      <c r="C86" s="8" t="inlineStr">
        <is>
          <t>Sportdog</t>
        </is>
      </c>
      <c r="D86" s="5" t="inlineStr">
        <is>
          <t>https://www.sportdog.gr/podosfairo/superleague/939091/paok-h-aktinografia-loytseskoy-gia-toys-traymaties</t>
        </is>
      </c>
      <c r="E86" s="8" t="inlineStr">
        <is>
          <t>Η ακτινογραφία Λουτσέσκου για τους τραυματίες στον ΠΑΟΚ</t>
        </is>
      </c>
      <c r="F86" s="8" t="inlineStr">
        <is>
          <t>YES</t>
        </is>
      </c>
      <c r="G86" s="8" t="inlineStr">
        <is>
          <t>Unnamed French midfielder</t>
        </is>
      </c>
      <c r="H86" s="8" t="inlineStr">
        <is>
          <t>PAOK</t>
        </is>
      </c>
      <c r="I86" s="8" t="inlineStr">
        <is>
          <t>injury</t>
        </is>
      </c>
      <c r="J86" s="4" t="n">
        <v>46089</v>
      </c>
      <c r="K86" s="8" t="inlineStr">
        <is>
          <t>approximate</t>
        </is>
      </c>
      <c r="L86" s="8" t="n">
        <v>2</v>
      </c>
      <c r="M86" s="8" t="inlineStr">
        <is>
          <t>medium</t>
        </is>
      </c>
      <c r="N86" s="6" t="n"/>
      <c r="O86" s="6" t="n"/>
      <c r="P86" s="6" t="n"/>
      <c r="Q86" s="13">
        <f>IF(OR($F86="",$N86=""),"",IF(AND($F86="YES",$N86="YES"),"TP",IF(AND($F86="NO",$N86="YES"),"FP",IF(AND($F86="YES",$N86="NO"),"FN","TN"))))</f>
        <v/>
      </c>
      <c r="R86" s="8" t="n"/>
    </row>
    <row r="87" ht="15" customHeight="1" s="30">
      <c r="A87" s="8" t="inlineStr">
        <is>
          <t>SDOG009</t>
        </is>
      </c>
      <c r="B87" s="4" t="n">
        <v>46190</v>
      </c>
      <c r="C87" s="8" t="inlineStr">
        <is>
          <t>Sportdog</t>
        </is>
      </c>
      <c r="D87" s="5" t="inlineStr">
        <is>
          <t>https://www.sportdog.gr/podosfairo/superleague/939091/paok-h-aktinografia-loytseskoy-gia-toys-traymaties</t>
        </is>
      </c>
      <c r="E87" s="8" t="inlineStr">
        <is>
          <t>Η ακτινογραφία Λουτσέσκου για τους τραυματίες στον ΠΑΟΚ</t>
        </is>
      </c>
      <c r="F87" s="8" t="inlineStr">
        <is>
          <t>YES</t>
        </is>
      </c>
      <c r="G87" s="8" t="inlineStr">
        <is>
          <t>Andrija Zivkovic</t>
        </is>
      </c>
      <c r="H87" s="8" t="inlineStr">
        <is>
          <t>PAOK</t>
        </is>
      </c>
      <c r="I87" s="8" t="inlineStr">
        <is>
          <t>injury</t>
        </is>
      </c>
      <c r="J87" s="4" t="n">
        <v>46088</v>
      </c>
      <c r="K87" s="8" t="inlineStr">
        <is>
          <t>approximate</t>
        </is>
      </c>
      <c r="L87" s="8" t="n">
        <v>2</v>
      </c>
      <c r="M87" s="8" t="inlineStr">
        <is>
          <t>medium</t>
        </is>
      </c>
      <c r="N87" s="6" t="n"/>
      <c r="O87" s="6" t="n"/>
      <c r="P87" s="6" t="n"/>
      <c r="Q87" s="13">
        <f>IF(OR($F87="",$N87=""),"",IF(AND($F87="YES",$N87="YES"),"TP",IF(AND($F87="NO",$N87="YES"),"FP",IF(AND($F87="YES",$N87="NO"),"FN","TN"))))</f>
        <v/>
      </c>
      <c r="R87" s="8" t="n"/>
    </row>
    <row r="88" ht="15" customHeight="1" s="30">
      <c r="A88" s="8" t="inlineStr">
        <is>
          <t>SDOG010</t>
        </is>
      </c>
      <c r="B88" s="4" t="n">
        <v>46212</v>
      </c>
      <c r="C88" s="8" t="inlineStr">
        <is>
          <t>Sportdog</t>
        </is>
      </c>
      <c r="D88" s="5" t="inlineStr">
        <is>
          <t>https://www.sportdog.gr/podosfairo/superleague/847601/ekselikseis-me-ton-traymatismo-toy-moykoynti-na-ti-pragmatika-symbainei</t>
        </is>
      </c>
      <c r="E88" s="8" t="inlineStr">
        <is>
          <t>Eξελίξεις με τον τραυματισμό του Μουκουντί - Να τι πραγματικά συμβαίνει</t>
        </is>
      </c>
      <c r="F88" s="8" t="inlineStr">
        <is>
          <t>YES</t>
        </is>
      </c>
      <c r="G88" s="8" t="inlineStr">
        <is>
          <t>Arouna/Ardold? (Moukoudi)</t>
        </is>
      </c>
      <c r="H88" s="8" t="inlineStr">
        <is>
          <t>AEK</t>
        </is>
      </c>
      <c r="I88" s="8" t="inlineStr">
        <is>
          <t>injury</t>
        </is>
      </c>
      <c r="J88" s="4" t="n">
        <v>45539</v>
      </c>
      <c r="K88" s="8" t="inlineStr">
        <is>
          <t>exact</t>
        </is>
      </c>
      <c r="L88" s="8" t="n">
        <v>3</v>
      </c>
      <c r="M88" s="8" t="inlineStr">
        <is>
          <t>medium</t>
        </is>
      </c>
      <c r="N88" s="6" t="n"/>
      <c r="O88" s="6" t="n"/>
      <c r="P88" s="6" t="n"/>
      <c r="Q88" s="13" t="n"/>
      <c r="R88" s="8" t="n"/>
    </row>
    <row r="89" ht="15" customHeight="1" s="30">
      <c r="A89" s="8" t="inlineStr">
        <is>
          <t>SDOG012</t>
        </is>
      </c>
      <c r="B89" s="4" t="n">
        <v>46212</v>
      </c>
      <c r="C89" s="8" t="inlineStr">
        <is>
          <t>Sportdog</t>
        </is>
      </c>
      <c r="D89" s="5" t="inlineStr">
        <is>
          <t>https://www.sportdog.gr/podosfairo/superleague/737411/o-traymatismos-toy-eliason-ta-katagmata-kai-o-paragwn-psyxologia</t>
        </is>
      </c>
      <c r="E89" s="8" t="inlineStr">
        <is>
          <t>Θα χρειαστεί χρόνο ο Ελίασον - Οι δυσκολίες της επέμβασης, οι ...</t>
        </is>
      </c>
      <c r="F89" s="8" t="inlineStr">
        <is>
          <t>YES</t>
        </is>
      </c>
      <c r="G89" s="8" t="inlineStr">
        <is>
          <t>Niclas Eliasson</t>
        </is>
      </c>
      <c r="H89" s="8" t="inlineStr">
        <is>
          <t>AEK</t>
        </is>
      </c>
      <c r="I89" s="8" t="inlineStr">
        <is>
          <t>injury</t>
        </is>
      </c>
      <c r="J89" s="4" t="n">
        <v>44872</v>
      </c>
      <c r="K89" s="8" t="inlineStr">
        <is>
          <t>exact</t>
        </is>
      </c>
      <c r="L89" s="8" t="n">
        <v>4</v>
      </c>
      <c r="M89" s="8" t="inlineStr">
        <is>
          <t>high</t>
        </is>
      </c>
      <c r="N89" s="6" t="n"/>
      <c r="O89" s="6" t="n"/>
      <c r="P89" s="6" t="n"/>
      <c r="Q89" s="13" t="n"/>
      <c r="R89" s="8" t="n"/>
    </row>
    <row r="90" ht="15" customHeight="1" s="30">
      <c r="A90" s="8" t="inlineStr">
        <is>
          <t>SDOG013</t>
        </is>
      </c>
      <c r="B90" s="4" t="n">
        <v>46212</v>
      </c>
      <c r="C90" s="8" t="inlineStr">
        <is>
          <t>Sportdog</t>
        </is>
      </c>
      <c r="D90" s="5" t="inlineStr">
        <is>
          <t>https://www.sportdog.gr/podosfairo/superleague/956761/sok-gia-lisi-paikths-ypesth-rhksh-xiastwn-sto-filiko-me-besterlo</t>
        </is>
      </c>
      <c r="E90" s="8" t="inlineStr">
        <is>
          <t>ΣΟΚ για Λίσι! Παίκτης υπέστη ρήξη χιαστών στο φιλικό με Βέστερλο</t>
        </is>
      </c>
      <c r="F90" s="8" t="inlineStr">
        <is>
          <t>YES</t>
        </is>
      </c>
      <c r="G90" s="8" t="inlineStr">
        <is>
          <t>Giannis Saris</t>
        </is>
      </c>
      <c r="H90" s="8" t="inlineStr">
        <is>
          <t>PAOK</t>
        </is>
      </c>
      <c r="I90" s="8" t="inlineStr">
        <is>
          <t>injury</t>
        </is>
      </c>
      <c r="J90" s="4" t="n">
        <v>46209</v>
      </c>
      <c r="K90" s="8" t="inlineStr">
        <is>
          <t>exact</t>
        </is>
      </c>
      <c r="L90" s="8" t="n">
        <v>5</v>
      </c>
      <c r="M90" s="8" t="inlineStr">
        <is>
          <t>high</t>
        </is>
      </c>
      <c r="N90" s="6" t="n"/>
      <c r="O90" s="6" t="n"/>
      <c r="P90" s="6" t="n"/>
      <c r="Q90" s="13" t="n"/>
      <c r="R90" s="8" t="n"/>
    </row>
    <row r="91" ht="15" customHeight="1" s="30">
      <c r="A91" s="8" t="inlineStr">
        <is>
          <t>SDOG014</t>
        </is>
      </c>
      <c r="B91" s="4" t="n">
        <v>46212</v>
      </c>
      <c r="C91" s="8" t="inlineStr">
        <is>
          <t>Sportdog</t>
        </is>
      </c>
      <c r="D91" s="5" t="inlineStr">
        <is>
          <t>https://www.sportdog.gr/podosfairo/superleague/912585/traymatisthke-paikths-toy-olympiakoy-ektos-gia-mhnes</t>
        </is>
      </c>
      <c r="E91" s="8" t="inlineStr">
        <is>
          <t>Τραυματίστηκε παίκτης του Ολυμπιακού - Εκτός για μήνες</t>
        </is>
      </c>
      <c r="F91" s="8" t="inlineStr">
        <is>
          <t>YES</t>
        </is>
      </c>
      <c r="G91" s="8" t="inlineStr">
        <is>
          <t>Konstantinos Angelakis</t>
        </is>
      </c>
      <c r="H91" s="8" t="inlineStr">
        <is>
          <t>Olympiakos</t>
        </is>
      </c>
      <c r="I91" s="8" t="inlineStr">
        <is>
          <t>injury</t>
        </is>
      </c>
      <c r="J91" s="4" t="n">
        <v>45923</v>
      </c>
      <c r="K91" s="8" t="inlineStr">
        <is>
          <t>exact</t>
        </is>
      </c>
      <c r="L91" s="8" t="n">
        <v>4</v>
      </c>
      <c r="M91" s="8" t="inlineStr">
        <is>
          <t>high</t>
        </is>
      </c>
      <c r="N91" s="6" t="n"/>
      <c r="O91" s="6" t="n"/>
      <c r="P91" s="6" t="n"/>
      <c r="Q91" s="13" t="n"/>
      <c r="R91" s="8" t="n"/>
    </row>
    <row r="92" ht="15" customHeight="1" s="30">
      <c r="A92" s="8" t="inlineStr">
        <is>
          <t>SDOG015</t>
        </is>
      </c>
      <c r="B92" s="4" t="n">
        <v>46212</v>
      </c>
      <c r="C92" s="8" t="inlineStr">
        <is>
          <t>Sportdog</t>
        </is>
      </c>
      <c r="D92" s="5" t="inlineStr">
        <is>
          <t>https://www.sportdog.gr/podosfairo/superleague/942109/sok-me-ton-traymatismo-ths-stefatoy-sto-aek-panathhnaikos</t>
        </is>
      </c>
      <c r="E92" s="8" t="inlineStr">
        <is>
          <t>ΣΟΚ με τον τραυματισμό της Στεφάτου στο ΑΕΚ-Παναθηναϊκός!</t>
        </is>
      </c>
      <c r="F92" s="8" t="inlineStr">
        <is>
          <t>YES</t>
        </is>
      </c>
      <c r="G92" s="8" t="inlineStr">
        <is>
          <t>Stefatos</t>
        </is>
      </c>
      <c r="H92" s="8" t="inlineStr">
        <is>
          <t>AEK</t>
        </is>
      </c>
      <c r="I92" s="8" t="inlineStr">
        <is>
          <t>injury</t>
        </is>
      </c>
      <c r="J92" s="4" t="n">
        <v>46109</v>
      </c>
      <c r="K92" s="8" t="inlineStr">
        <is>
          <t>exact</t>
        </is>
      </c>
      <c r="L92" s="8" t="n">
        <v>4</v>
      </c>
      <c r="M92" s="8" t="inlineStr">
        <is>
          <t>medium</t>
        </is>
      </c>
      <c r="N92" s="6" t="n"/>
      <c r="O92" s="6" t="n"/>
      <c r="P92" s="6" t="n"/>
      <c r="Q92" s="13" t="n"/>
      <c r="R92" s="8" t="n"/>
    </row>
    <row r="93" ht="15" customHeight="1" s="30">
      <c r="A93" s="8" t="inlineStr">
        <is>
          <t>SDOG016</t>
        </is>
      </c>
      <c r="B93" s="4" t="n">
        <v>46212</v>
      </c>
      <c r="C93" s="8" t="inlineStr">
        <is>
          <t>Sportdog</t>
        </is>
      </c>
      <c r="D93" s="5" t="inlineStr">
        <is>
          <t>https://www.sportdog.gr/podosfairo/superleague/935344/megalo-plhgma-gia-paok-sobaros-o-traymatismos-toy-pelka</t>
        </is>
      </c>
      <c r="E93" s="8" t="inlineStr">
        <is>
          <t>Μεγάλο πλήγμα για ΠΑΟΚ - Σοβαρός ο τραυματισμός του Πέλκα</t>
        </is>
      </c>
      <c r="F93" s="8" t="inlineStr">
        <is>
          <t>YES</t>
        </is>
      </c>
      <c r="G93" s="8" t="inlineStr">
        <is>
          <t>Dimitris Pelkas</t>
        </is>
      </c>
      <c r="H93" s="8" t="inlineStr">
        <is>
          <t>PAOK</t>
        </is>
      </c>
      <c r="I93" s="8" t="inlineStr">
        <is>
          <t>injury</t>
        </is>
      </c>
      <c r="J93" s="4" t="n">
        <v>46065</v>
      </c>
      <c r="K93" s="8" t="inlineStr">
        <is>
          <t>exact</t>
        </is>
      </c>
      <c r="L93" s="8" t="n">
        <v>4</v>
      </c>
      <c r="M93" s="8" t="inlineStr">
        <is>
          <t>high</t>
        </is>
      </c>
      <c r="N93" s="6" t="n"/>
      <c r="O93" s="6" t="n"/>
      <c r="P93" s="6" t="n"/>
      <c r="Q93" s="13" t="n"/>
      <c r="R93" s="8" t="n"/>
    </row>
    <row r="94" ht="15" customHeight="1" s="30">
      <c r="A94" s="8" t="inlineStr">
        <is>
          <t>SDOG017</t>
        </is>
      </c>
      <c r="B94" s="4" t="n">
        <v>46212</v>
      </c>
      <c r="C94" s="8" t="inlineStr">
        <is>
          <t>Sportdog</t>
        </is>
      </c>
      <c r="D94" s="5" t="inlineStr">
        <is>
          <t>https://www.sportdog.gr/podosfairo/superleague/938124/apisteyth-plhgh-gia-paok-oi-traymatismoi-24-apoysies-mexri-shmera</t>
        </is>
      </c>
      <c r="E94" s="8" t="inlineStr">
        <is>
          <t>Απίστευτη πληγή για ΠΑΟΚ οι τραυματισμοί - 24 απουσίες μέχρι σήμερα</t>
        </is>
      </c>
      <c r="F94" s="8" t="inlineStr">
        <is>
          <t>YES</t>
        </is>
      </c>
      <c r="G94" s="8" t="inlineStr">
        <is>
          <t>PAOK squad (multiple players)</t>
        </is>
      </c>
      <c r="H94" s="8" t="inlineStr">
        <is>
          <t>PAOK</t>
        </is>
      </c>
      <c r="I94" s="8" t="inlineStr">
        <is>
          <t>injury</t>
        </is>
      </c>
      <c r="J94" s="4" t="n">
        <v>46083</v>
      </c>
      <c r="K94" s="8" t="inlineStr">
        <is>
          <t>approximate</t>
        </is>
      </c>
      <c r="L94" s="8" t="n">
        <v>2</v>
      </c>
      <c r="M94" s="8" t="inlineStr">
        <is>
          <t>low</t>
        </is>
      </c>
      <c r="N94" s="6" t="n"/>
      <c r="O94" s="6" t="n"/>
      <c r="P94" s="6" t="n"/>
      <c r="Q94" s="13" t="n"/>
      <c r="R94" s="8" t="n"/>
    </row>
    <row r="95" ht="15" customHeight="1" s="30">
      <c r="A95" s="8" t="inlineStr">
        <is>
          <t>SDOG018</t>
        </is>
      </c>
      <c r="B95" s="4" t="n">
        <v>46212</v>
      </c>
      <c r="C95" s="8" t="inlineStr">
        <is>
          <t>Sportdog</t>
        </is>
      </c>
      <c r="D95" s="5" t="inlineStr">
        <is>
          <t>https://www.sportdog.gr/podosfairo/superleague/933426/podosfairisths-toy-panathhnaikoy-pantreythke-paiktria-toy-survivor-fwto</t>
        </is>
      </c>
      <c r="E95" s="8" t="inlineStr">
        <is>
          <t>Ποδοσφαιριστής του Παναθηναϊκού παντρεύτηκε παίκτρια του Survivor (ΦΩΤΟ)</t>
        </is>
      </c>
      <c r="F95" s="8" t="inlineStr">
        <is>
          <t>YES</t>
        </is>
      </c>
      <c r="G95" s="8" t="inlineStr">
        <is>
          <t>Moussa Sissoko</t>
        </is>
      </c>
      <c r="H95" s="8" t="inlineStr">
        <is>
          <t>Panathinaikos</t>
        </is>
      </c>
      <c r="I95" s="8" t="inlineStr">
        <is>
          <t>other</t>
        </is>
      </c>
      <c r="J95" s="4" t="n">
        <v>46054</v>
      </c>
      <c r="K95" s="8" t="inlineStr">
        <is>
          <t>exact</t>
        </is>
      </c>
      <c r="L95" s="8" t="n">
        <v>3</v>
      </c>
      <c r="M95" s="8" t="inlineStr">
        <is>
          <t>medium</t>
        </is>
      </c>
      <c r="N95" s="6" t="n"/>
      <c r="O95" s="6" t="n"/>
      <c r="P95" s="6" t="n"/>
      <c r="Q95" s="13" t="n"/>
      <c r="R95" s="8" t="n"/>
      <c r="S95" t="inlineStr">
        <is>
          <t>positive</t>
        </is>
      </c>
      <c r="T95" t="inlineStr">
        <is>
          <t>Marriage — player identified only as "Panathinaikos player", not by name; verify identity</t>
        </is>
      </c>
    </row>
    <row r="96" ht="15" customHeight="1" s="30">
      <c r="A96" s="8" t="inlineStr">
        <is>
          <t>SDOG019</t>
        </is>
      </c>
      <c r="B96" s="4" t="n">
        <v>46212</v>
      </c>
      <c r="C96" s="8" t="inlineStr">
        <is>
          <t>Sportdog</t>
        </is>
      </c>
      <c r="D96" s="5" t="inlineStr">
        <is>
          <t>https://www.sportdog.gr/podosfairo/superleague/895588/pantreythke-o-siwphs-me-koymparo-prwhn-toy-panathhnaikoy-fwto-binteo</t>
        </is>
      </c>
      <c r="E96" s="8" t="inlineStr">
        <is>
          <t>Παντρεύτηκε ο Σιώπης με κουμπάρο πρώην του Παναθηναϊκού (ΦΩΤΟ-ΒΙΝΤΕΟ)</t>
        </is>
      </c>
      <c r="F96" s="8" t="inlineStr">
        <is>
          <t>YES</t>
        </is>
      </c>
      <c r="G96" s="8" t="inlineStr">
        <is>
          <t>Manolis Siopis</t>
        </is>
      </c>
      <c r="H96" s="8" t="inlineStr">
        <is>
          <t>Panathinaikos / Greece</t>
        </is>
      </c>
      <c r="I96" s="8" t="inlineStr">
        <is>
          <t>other</t>
        </is>
      </c>
      <c r="J96" s="4" t="n">
        <v>45822</v>
      </c>
      <c r="K96" s="8" t="inlineStr">
        <is>
          <t>exact</t>
        </is>
      </c>
      <c r="L96" s="8" t="n">
        <v>3</v>
      </c>
      <c r="M96" s="8" t="inlineStr">
        <is>
          <t>high</t>
        </is>
      </c>
      <c r="N96" s="6" t="n"/>
      <c r="O96" s="6" t="n"/>
      <c r="P96" s="6" t="n"/>
      <c r="Q96" s="13" t="n"/>
      <c r="R96" s="8" t="n"/>
      <c r="S96" t="inlineStr">
        <is>
          <t>positive</t>
        </is>
      </c>
      <c r="T96" t="inlineStr">
        <is>
          <t>Marriage</t>
        </is>
      </c>
    </row>
    <row r="97" ht="15" customHeight="1" s="30">
      <c r="A97" s="8" t="inlineStr">
        <is>
          <t>SDOG020</t>
        </is>
      </c>
      <c r="B97" s="4" t="n">
        <v>46212</v>
      </c>
      <c r="C97" s="8" t="inlineStr">
        <is>
          <t>Sportdog</t>
        </is>
      </c>
      <c r="D97" s="5" t="inlineStr">
        <is>
          <t>https://www.sportdog.gr/podosfairo/superleague/886379/deyteros-gamos-gia-ton-petro-mantalo-me-thn-panemorfh-xristina-fwto</t>
        </is>
      </c>
      <c r="E97" s="8" t="inlineStr">
        <is>
          <t>Δεύτερος γάμος για τον Πέτρο Μάνταλο με την πανέμορφη Χριστίνα (ΦΩΤΟ)</t>
        </is>
      </c>
      <c r="F97" s="8" t="inlineStr">
        <is>
          <t>YES</t>
        </is>
      </c>
      <c r="G97" s="8" t="inlineStr">
        <is>
          <t>Petros Mantalos</t>
        </is>
      </c>
      <c r="H97" s="8" t="inlineStr">
        <is>
          <t>AEK</t>
        </is>
      </c>
      <c r="I97" s="8" t="inlineStr">
        <is>
          <t>other</t>
        </is>
      </c>
      <c r="J97" s="4" t="n">
        <v>45770</v>
      </c>
      <c r="K97" s="8" t="inlineStr">
        <is>
          <t>exact</t>
        </is>
      </c>
      <c r="L97" s="8" t="n">
        <v>3</v>
      </c>
      <c r="M97" s="8" t="inlineStr">
        <is>
          <t>high</t>
        </is>
      </c>
      <c r="N97" s="6" t="n"/>
      <c r="O97" s="6" t="n"/>
      <c r="P97" s="6" t="n"/>
      <c r="Q97" s="13" t="n"/>
      <c r="R97" s="8" t="n"/>
      <c r="S97" t="inlineStr">
        <is>
          <t>positive</t>
        </is>
      </c>
      <c r="T97" t="inlineStr">
        <is>
          <t>Marriage (2nd)</t>
        </is>
      </c>
    </row>
    <row r="98" ht="15" customHeight="1" s="30">
      <c r="A98" s="8" t="inlineStr">
        <is>
          <t>SDOG021</t>
        </is>
      </c>
      <c r="B98" s="4" t="n">
        <v>46212</v>
      </c>
      <c r="C98" s="8" t="inlineStr">
        <is>
          <t>Sportdog</t>
        </is>
      </c>
      <c r="D98" s="5" t="inlineStr">
        <is>
          <t>https://www.sportdog.gr/podosfairo/superleague/849957/pantreyetai-o-gios-alafoyzoy-pws-egine-apo-olympiakos-hellip-pao-kai-h-syz</t>
        </is>
      </c>
      <c r="E98" s="8" t="inlineStr">
        <is>
          <t>Παντρεύεται ο γιος Αλαφούζου - Πώς έγινε από Ολυμπιακός… ΠΑΟ και η σύζυγος!</t>
        </is>
      </c>
      <c r="F98" s="8" t="inlineStr">
        <is>
          <t>YES</t>
        </is>
      </c>
      <c r="G98" s="8" t="inlineStr">
        <is>
          <t>Aristeidis Alafouzos</t>
        </is>
      </c>
      <c r="H98" s="8" t="inlineStr">
        <is>
          <t>Panathinaikos family</t>
        </is>
      </c>
      <c r="I98" s="8" t="inlineStr">
        <is>
          <t>other</t>
        </is>
      </c>
      <c r="J98" s="4" t="n">
        <v>45553</v>
      </c>
      <c r="K98" s="8" t="inlineStr">
        <is>
          <t>exact</t>
        </is>
      </c>
      <c r="L98" s="8" t="n">
        <v>3</v>
      </c>
      <c r="M98" s="8" t="inlineStr">
        <is>
          <t>medium</t>
        </is>
      </c>
      <c r="N98" s="6" t="n"/>
      <c r="O98" s="6" t="n"/>
      <c r="P98" s="6" t="n"/>
      <c r="Q98" s="13" t="n"/>
      <c r="R98" s="8" t="n"/>
      <c r="S98" t="inlineStr">
        <is>
          <t>drop_not_player</t>
        </is>
      </c>
      <c r="T98" t="inlineStr">
        <is>
          <t>Club owner's son's wedding — not a player</t>
        </is>
      </c>
    </row>
    <row r="99" ht="15" customHeight="1" s="30">
      <c r="A99" s="8" t="inlineStr">
        <is>
          <t>SDOG023</t>
        </is>
      </c>
      <c r="B99" s="4" t="n">
        <v>46212</v>
      </c>
      <c r="C99" s="8" t="inlineStr">
        <is>
          <t>Sportdog</t>
        </is>
      </c>
      <c r="D99" s="5" t="inlineStr">
        <is>
          <t>https://www.sportdog.gr/podosfairo/superleague/830425/ntythhke-gampros-o-zibkobits-ayth-einai-h-entypwsiakh-toy-syzygos</t>
        </is>
      </c>
      <c r="E99" s="8" t="inlineStr">
        <is>
          <t>Ντύθηκε γαμπρός ο Ζίβκοβιτς, αυτή είναι η εντυπωσιακή του σύζυγος</t>
        </is>
      </c>
      <c r="F99" s="8" t="inlineStr">
        <is>
          <t>YES</t>
        </is>
      </c>
      <c r="G99" s="8" t="inlineStr">
        <is>
          <t>Andrija Zivkovic</t>
        </is>
      </c>
      <c r="H99" s="8" t="inlineStr">
        <is>
          <t>PAOK</t>
        </is>
      </c>
      <c r="I99" s="8" t="inlineStr">
        <is>
          <t>other</t>
        </is>
      </c>
      <c r="J99" s="4" t="n">
        <v>45439</v>
      </c>
      <c r="K99" s="8" t="inlineStr">
        <is>
          <t>exact</t>
        </is>
      </c>
      <c r="L99" s="8" t="n">
        <v>3</v>
      </c>
      <c r="M99" s="8" t="inlineStr">
        <is>
          <t>high</t>
        </is>
      </c>
      <c r="N99" s="6" t="n"/>
      <c r="O99" s="6" t="n"/>
      <c r="P99" s="6" t="n"/>
      <c r="Q99" s="13" t="n"/>
      <c r="R99" s="8" t="n"/>
      <c r="S99" t="inlineStr">
        <is>
          <t>drop_duplicate</t>
        </is>
      </c>
      <c r="T99" t="inlineStr">
        <is>
          <t>Duplicate of GAZ204, same wedding ~3 days apart</t>
        </is>
      </c>
    </row>
    <row r="100" ht="15" customHeight="1" s="30">
      <c r="A100" s="8" t="inlineStr">
        <is>
          <t>SDOG024</t>
        </is>
      </c>
      <c r="B100" s="4" t="n">
        <v>46212</v>
      </c>
      <c r="C100" s="8" t="inlineStr">
        <is>
          <t>Sportdog</t>
        </is>
      </c>
      <c r="D100" s="5" t="inlineStr">
        <is>
          <t>https://www.sportdog.gr/life/showbiz/928590/anastasios-rammos-egine-pateras-gia-prwth-fora</t>
        </is>
      </c>
      <c r="E100" s="8" t="inlineStr">
        <is>
          <t>Αναστάσιος Ράμμος: Έγινε πατέρας για πρώτη φορά! - Sportdog.gr</t>
        </is>
      </c>
      <c r="F100" s="8" t="inlineStr">
        <is>
          <t>YES</t>
        </is>
      </c>
      <c r="G100" s="8" t="inlineStr">
        <is>
          <t>Anastasios Rammos</t>
        </is>
      </c>
      <c r="H100" s="8" t="inlineStr">
        <is>
          <t>Showbiz</t>
        </is>
      </c>
      <c r="I100" s="8" t="inlineStr">
        <is>
          <t>other</t>
        </is>
      </c>
      <c r="J100" s="4" t="n">
        <v>46024</v>
      </c>
      <c r="K100" s="8" t="inlineStr">
        <is>
          <t>exact</t>
        </is>
      </c>
      <c r="L100" s="8" t="n">
        <v>3</v>
      </c>
      <c r="M100" s="8" t="inlineStr">
        <is>
          <t>medium</t>
        </is>
      </c>
      <c r="N100" s="6" t="n"/>
      <c r="O100" s="6" t="n"/>
      <c r="P100" s="6" t="n"/>
      <c r="Q100" s="13" t="n"/>
      <c r="R100" s="8" t="n"/>
      <c r="S100" t="inlineStr">
        <is>
          <t>ambiguous</t>
        </is>
      </c>
      <c r="T100" t="inlineStr">
        <is>
          <t>team field = "Showbiz" not a football club — possible wrong-domain/wrong-person scrape, needs verification</t>
        </is>
      </c>
    </row>
    <row r="101" ht="15" customHeight="1" s="30">
      <c r="A101" s="8" t="inlineStr">
        <is>
          <t>SDOG025</t>
        </is>
      </c>
      <c r="B101" s="4" t="n">
        <v>46212</v>
      </c>
      <c r="C101" s="8" t="inlineStr">
        <is>
          <t>Sportdog</t>
        </is>
      </c>
      <c r="D101" s="5" t="inlineStr">
        <is>
          <t>https://www.sportdog.gr/podosfairo/superleague/955879/to-ldquo-eyxaristw-rdquo-toy-paok-se-ozntoef-ldquo-dikh-mas-xara-rdquo</t>
        </is>
      </c>
      <c r="E101" s="8" t="inlineStr">
        <is>
          <t>Το “ευχαριστώ” του ΠΑΟΚ σε Οζντόεφ - “Δική μας χαρά…”</t>
        </is>
      </c>
      <c r="F101" s="8" t="inlineStr">
        <is>
          <t>YES</t>
        </is>
      </c>
      <c r="G101" s="8" t="inlineStr">
        <is>
          <t>PAOK Team</t>
        </is>
      </c>
      <c r="H101" s="8" t="inlineStr">
        <is>
          <t>PAOK</t>
        </is>
      </c>
      <c r="I101" s="8" t="inlineStr">
        <is>
          <t>transfer</t>
        </is>
      </c>
      <c r="J101" s="4" t="n">
        <v>46202</v>
      </c>
      <c r="K101" s="8" t="inlineStr">
        <is>
          <t>exact</t>
        </is>
      </c>
      <c r="L101" s="8" t="n">
        <v>2</v>
      </c>
      <c r="M101" s="8" t="inlineStr">
        <is>
          <t>high</t>
        </is>
      </c>
      <c r="N101" s="6" t="n"/>
      <c r="O101" s="6" t="n"/>
      <c r="P101" s="6" t="n"/>
      <c r="Q101" s="13" t="n"/>
      <c r="R101" s="8" t="n"/>
    </row>
    <row r="102" ht="15" customHeight="1" s="30">
      <c r="A102" s="8" t="inlineStr">
        <is>
          <t>SDOG026</t>
        </is>
      </c>
      <c r="B102" s="4" t="n">
        <v>46212</v>
      </c>
      <c r="C102" s="8" t="inlineStr">
        <is>
          <t>Sportdog</t>
        </is>
      </c>
      <c r="D102" s="5" t="inlineStr">
        <is>
          <t>https://www.sportdog.gr/podosfairo/superleague/956127/exoyn-sigoyrh-apoxwrhsh-ksenoy-apo-olympiako-etoimos-gia-ispania</t>
        </is>
      </c>
      <c r="E102" s="8" t="inlineStr">
        <is>
          <t>Έχουν σίγουρη αποχώρηση ξένου από Ολυμπιακό - Έτοιμος για Ισπανία</t>
        </is>
      </c>
      <c r="F102" s="8" t="inlineStr">
        <is>
          <t>YES</t>
        </is>
      </c>
      <c r="G102" s="8" t="inlineStr">
        <is>
          <t>Hefté Betancor</t>
        </is>
      </c>
      <c r="H102" s="8" t="inlineStr">
        <is>
          <t>Olympiakos</t>
        </is>
      </c>
      <c r="I102" s="8" t="inlineStr">
        <is>
          <t>transfer</t>
        </is>
      </c>
      <c r="J102" s="4" t="n">
        <v>46204</v>
      </c>
      <c r="K102" s="8" t="inlineStr">
        <is>
          <t>exact</t>
        </is>
      </c>
      <c r="L102" s="8" t="n">
        <v>2</v>
      </c>
      <c r="M102" s="8" t="inlineStr">
        <is>
          <t>high</t>
        </is>
      </c>
      <c r="N102" s="6" t="n"/>
      <c r="O102" s="6" t="n"/>
      <c r="P102" s="6" t="n"/>
      <c r="Q102" s="13" t="n"/>
      <c r="R102" s="8" t="n"/>
    </row>
    <row r="103" ht="15" customHeight="1" s="30">
      <c r="A103" s="8" t="inlineStr">
        <is>
          <t>SDOG027</t>
        </is>
      </c>
      <c r="B103" s="4" t="n">
        <v>46212</v>
      </c>
      <c r="C103" s="8" t="inlineStr">
        <is>
          <t>Sportdog</t>
        </is>
      </c>
      <c r="D103" s="5" t="inlineStr">
        <is>
          <t>https://www.sportdog.gr/podosfairo/superleague/955254/teleiwnei-paikths-toy-arh-etoimos-na-ypograpsei-sthn-toyrkia</t>
        </is>
      </c>
      <c r="E103" s="8" t="inlineStr">
        <is>
          <t>Τελειώνει παίκτης του Άρη - Έτοιμος να υπογράψει στην Τουρκία!</t>
        </is>
      </c>
      <c r="F103" s="8" t="inlineStr">
        <is>
          <t>YES</t>
        </is>
      </c>
      <c r="G103" s="8" t="inlineStr">
        <is>
          <t>Aris Team</t>
        </is>
      </c>
      <c r="H103" s="8" t="inlineStr">
        <is>
          <t>Aris</t>
        </is>
      </c>
      <c r="I103" s="8" t="inlineStr">
        <is>
          <t>transfer</t>
        </is>
      </c>
      <c r="J103" s="4" t="n">
        <v>46198</v>
      </c>
      <c r="K103" s="8" t="inlineStr">
        <is>
          <t>exact</t>
        </is>
      </c>
      <c r="L103" s="8" t="n">
        <v>2</v>
      </c>
      <c r="M103" s="8" t="inlineStr">
        <is>
          <t>high</t>
        </is>
      </c>
      <c r="N103" s="6" t="n"/>
      <c r="O103" s="6" t="n"/>
      <c r="P103" s="6" t="n"/>
      <c r="Q103" s="13" t="n"/>
      <c r="R103" s="8" t="n"/>
    </row>
    <row r="104" ht="15" customHeight="1" s="30">
      <c r="A104" s="8" t="inlineStr">
        <is>
          <t>SDOG028</t>
        </is>
      </c>
      <c r="B104" s="4" t="n">
        <v>46212</v>
      </c>
      <c r="C104" s="8" t="inlineStr">
        <is>
          <t>Sportdog</t>
        </is>
      </c>
      <c r="D104" s="5" t="inlineStr">
        <is>
          <t>https://www.sportdog.gr/podosfairo/superleague/929946/kai-trith-hxhrh-apoxwrhsh-ston-panathhnaiko-ekleise-nea-metagrafh-h-aek</t>
        </is>
      </c>
      <c r="E104" s="8" t="inlineStr">
        <is>
          <t>Και τρίτη ηχηρή αποχώρηση στον Παναθηναϊκό - Έκλεισε νέα ...</t>
        </is>
      </c>
      <c r="F104" s="8" t="inlineStr">
        <is>
          <t>YES</t>
        </is>
      </c>
      <c r="G104" s="8" t="inlineStr">
        <is>
          <t>Panathinaikos Team</t>
        </is>
      </c>
      <c r="H104" s="8" t="inlineStr">
        <is>
          <t>Panathinaikos</t>
        </is>
      </c>
      <c r="I104" s="8" t="inlineStr">
        <is>
          <t>transfer</t>
        </is>
      </c>
      <c r="J104" s="4" t="n">
        <v>46033</v>
      </c>
      <c r="K104" s="8" t="inlineStr">
        <is>
          <t>exact</t>
        </is>
      </c>
      <c r="L104" s="8" t="n">
        <v>2</v>
      </c>
      <c r="M104" s="8" t="inlineStr">
        <is>
          <t>medium</t>
        </is>
      </c>
      <c r="N104" s="6" t="n"/>
      <c r="O104" s="6" t="n"/>
      <c r="P104" s="6" t="n"/>
      <c r="Q104" s="13" t="n"/>
      <c r="R104" s="8" t="n"/>
    </row>
    <row r="105" ht="15" customHeight="1" s="30">
      <c r="A105" s="8" t="inlineStr">
        <is>
          <t>SDOG029</t>
        </is>
      </c>
      <c r="B105" s="4" t="n">
        <v>46212</v>
      </c>
      <c r="C105" s="8" t="inlineStr">
        <is>
          <t>Sportdog</t>
        </is>
      </c>
      <c r="D105" s="5" t="inlineStr">
        <is>
          <t>https://www.sportdog.gr/podosfairo/superleague/949235/konta-se-ellhna-termatofylaka-o-olympiakos-diplh-apoxwrhsh-meta-thn-aek</t>
        </is>
      </c>
      <c r="E105" s="8" t="inlineStr">
        <is>
          <t>Κοντά σε Έλληνα τερματοφύλακα ο Ολυμπιακός - Διπλή αποχώρηση ...</t>
        </is>
      </c>
      <c r="F105" s="8" t="inlineStr">
        <is>
          <t>YES</t>
        </is>
      </c>
      <c r="G105" s="8" t="inlineStr">
        <is>
          <t>Olympiakos Team</t>
        </is>
      </c>
      <c r="H105" s="8" t="inlineStr">
        <is>
          <t>Olympiakos</t>
        </is>
      </c>
      <c r="I105" s="8" t="inlineStr">
        <is>
          <t>transfer</t>
        </is>
      </c>
      <c r="J105" s="4" t="n">
        <v>46157</v>
      </c>
      <c r="K105" s="8" t="inlineStr">
        <is>
          <t>exact</t>
        </is>
      </c>
      <c r="L105" s="8" t="n">
        <v>2</v>
      </c>
      <c r="M105" s="8" t="inlineStr">
        <is>
          <t>medium</t>
        </is>
      </c>
      <c r="N105" s="6" t="n"/>
      <c r="O105" s="6" t="n"/>
      <c r="P105" s="6" t="n"/>
      <c r="Q105" s="13" t="n"/>
      <c r="R105" s="8" t="n"/>
    </row>
    <row r="106" ht="15" customHeight="1" s="30">
      <c r="A106" s="8" t="inlineStr">
        <is>
          <t>SDOG030</t>
        </is>
      </c>
      <c r="B106" s="4" t="n">
        <v>46212</v>
      </c>
      <c r="C106" s="8" t="inlineStr">
        <is>
          <t>Sportdog</t>
        </is>
      </c>
      <c r="D106" s="5" t="inlineStr">
        <is>
          <t>https://www.sportdog.gr/podosfairo/superleague/956435/neos-traymatismos-ston-paok-ldquo-ponokefaliazei-rdquo-o-lisi</t>
        </is>
      </c>
      <c r="E106" s="8" t="inlineStr">
        <is>
          <t>Νέος τραυματισμός στον ΠΑΟΚ - "Πονοκεφαλιάζει" ο Λίσι</t>
        </is>
      </c>
      <c r="F106" s="8" t="inlineStr">
        <is>
          <t>YES</t>
        </is>
      </c>
      <c r="G106" s="8" t="inlineStr">
        <is>
          <t>Giannis Sarris</t>
        </is>
      </c>
      <c r="H106" s="8" t="inlineStr">
        <is>
          <t>PAOK</t>
        </is>
      </c>
      <c r="I106" s="8" t="inlineStr">
        <is>
          <t>injury</t>
        </is>
      </c>
      <c r="J106" s="4" t="n">
        <v>46207</v>
      </c>
      <c r="K106" s="8" t="inlineStr">
        <is>
          <t>exact</t>
        </is>
      </c>
      <c r="L106" s="8" t="n">
        <v>3</v>
      </c>
      <c r="M106" s="8" t="inlineStr">
        <is>
          <t>medium</t>
        </is>
      </c>
      <c r="N106" s="6" t="n"/>
      <c r="O106" s="6" t="n"/>
      <c r="P106" s="6" t="n"/>
      <c r="Q106" s="13" t="n"/>
      <c r="R106" s="8" t="n"/>
    </row>
    <row r="107" ht="15" customHeight="1" s="30">
      <c r="A107" s="8" t="inlineStr">
        <is>
          <t>SDOG032</t>
        </is>
      </c>
      <c r="B107" s="4" t="n">
        <v>46212</v>
      </c>
      <c r="C107" s="8" t="inlineStr">
        <is>
          <t>Sportdog</t>
        </is>
      </c>
      <c r="D107" s="5" t="inlineStr">
        <is>
          <t>https://www.sportdog.gr/podosfairo/superleague/943651/otan-eisai-o-pateras-soy</t>
        </is>
      </c>
      <c r="E107" s="8" t="inlineStr">
        <is>
          <t>Όταν είσαι ο πατέρας σου - Sportdog.gr</t>
        </is>
      </c>
      <c r="F107" s="8" t="inlineStr">
        <is>
          <t>YES</t>
        </is>
      </c>
      <c r="G107" s="8" t="inlineStr">
        <is>
          <t>PAOK Team</t>
        </is>
      </c>
      <c r="H107" s="8" t="inlineStr">
        <is>
          <t>PAOK</t>
        </is>
      </c>
      <c r="I107" s="8" t="inlineStr">
        <is>
          <t>other</t>
        </is>
      </c>
      <c r="J107" s="4" t="n">
        <v>46119</v>
      </c>
      <c r="K107" s="8" t="inlineStr">
        <is>
          <t>exact</t>
        </is>
      </c>
      <c r="L107" s="8" t="n">
        <v>2</v>
      </c>
      <c r="M107" s="8" t="inlineStr">
        <is>
          <t>medium</t>
        </is>
      </c>
      <c r="N107" s="6" t="n"/>
      <c r="O107" s="6" t="n"/>
      <c r="P107" s="6" t="n"/>
      <c r="Q107" s="13" t="n"/>
      <c r="R107" s="8" t="n"/>
    </row>
    <row r="108" ht="15" customHeight="1" s="30">
      <c r="A108" s="8" t="inlineStr">
        <is>
          <t>SDOG043</t>
        </is>
      </c>
      <c r="B108" s="4" t="n">
        <v>46212</v>
      </c>
      <c r="C108" s="8" t="inlineStr">
        <is>
          <t>Sportdog</t>
        </is>
      </c>
      <c r="D108" s="5" t="inlineStr">
        <is>
          <t>https://www.sportdog.gr/podosfairo/superleague/895588/pantreythke-o-siwphs-me-koymparo-prwhn-toy-panathhnaikoy-fwto-binteo</t>
        </is>
      </c>
      <c r="E108" s="8" t="inlineStr">
        <is>
          <t>Παντρεύτηκε ο Σιώπης με κουμπάρο πρώην του Παναθηναϊκού (ΦΩΤΟ-ΒΙΝΤΕΟ)</t>
        </is>
      </c>
      <c r="F108" s="8" t="inlineStr">
        <is>
          <t>YES</t>
        </is>
      </c>
      <c r="G108" s="8" t="inlineStr">
        <is>
          <t>Manolis Siopis</t>
        </is>
      </c>
      <c r="H108" s="8" t="inlineStr">
        <is>
          <t>Panathinaikos / Greece</t>
        </is>
      </c>
      <c r="I108" s="8" t="inlineStr">
        <is>
          <t>other</t>
        </is>
      </c>
      <c r="J108" s="4" t="n">
        <v>45822</v>
      </c>
      <c r="K108" s="8" t="inlineStr">
        <is>
          <t>exact</t>
        </is>
      </c>
      <c r="L108" s="8" t="n">
        <v>3</v>
      </c>
      <c r="M108" s="8" t="inlineStr">
        <is>
          <t>high</t>
        </is>
      </c>
      <c r="N108" s="6" t="n"/>
      <c r="O108" s="6" t="n"/>
      <c r="P108" s="6" t="n"/>
      <c r="Q108" s="13" t="inlineStr">
        <is>
          <t>International midfielder married in a religious ceremony; already had civil wedding.</t>
        </is>
      </c>
      <c r="R108" s="8" t="n"/>
      <c r="S108" t="inlineStr">
        <is>
          <t>drop_duplicate</t>
        </is>
      </c>
      <c r="T108" t="inlineStr">
        <is>
          <t>Duplicate of SDOG019, same source, likely re-scrape</t>
        </is>
      </c>
    </row>
    <row r="109" ht="15" customHeight="1" s="30">
      <c r="A109" s="8" t="inlineStr">
        <is>
          <t>SDOG044</t>
        </is>
      </c>
      <c r="B109" s="4" t="n">
        <v>46212</v>
      </c>
      <c r="C109" s="8" t="inlineStr">
        <is>
          <t>Sportdog</t>
        </is>
      </c>
      <c r="D109" s="5" t="inlineStr">
        <is>
          <t>https://www.sportdog.gr/podosfairo/superleague/886379/deyteros-gamos-gia-ton-petro-mantalo-me-thn-panemorfh-xristina-fwto</t>
        </is>
      </c>
      <c r="E109" s="8" t="inlineStr">
        <is>
          <t>Δεύτερος γάμος για τον Πέτρο Μάνταλο με την πανέμορφη Χριστίνα (ΦΩΤΟ)</t>
        </is>
      </c>
      <c r="F109" s="8" t="inlineStr">
        <is>
          <t>YES</t>
        </is>
      </c>
      <c r="G109" s="8" t="inlineStr">
        <is>
          <t>Petros Mantalos</t>
        </is>
      </c>
      <c r="H109" s="8" t="inlineStr">
        <is>
          <t>AEK</t>
        </is>
      </c>
      <c r="I109" s="8" t="inlineStr">
        <is>
          <t>other</t>
        </is>
      </c>
      <c r="J109" s="4" t="n">
        <v>45770</v>
      </c>
      <c r="K109" s="8" t="inlineStr">
        <is>
          <t>exact</t>
        </is>
      </c>
      <c r="L109" s="8" t="n">
        <v>3</v>
      </c>
      <c r="M109" s="8" t="inlineStr">
        <is>
          <t>high</t>
        </is>
      </c>
      <c r="N109" s="6" t="n"/>
      <c r="O109" s="6" t="n"/>
      <c r="P109" s="6" t="n"/>
      <c r="Q109" s="13" t="inlineStr">
        <is>
          <t>AEK captain remarried at the town hall; religious ceremony planned for summer.</t>
        </is>
      </c>
      <c r="R109" s="8" t="n"/>
      <c r="S109" t="inlineStr">
        <is>
          <t>drop_duplicate</t>
        </is>
      </c>
      <c r="T109" t="inlineStr">
        <is>
          <t>Duplicate of SDOG020, same source, likely re-scrape</t>
        </is>
      </c>
    </row>
    <row r="110" ht="15" customHeight="1" s="30">
      <c r="A110" s="8" t="inlineStr">
        <is>
          <t>SDOG053</t>
        </is>
      </c>
      <c r="B110" s="4" t="n">
        <v>46212</v>
      </c>
      <c r="C110" s="8" t="inlineStr">
        <is>
          <t>Sportdog</t>
        </is>
      </c>
      <c r="D110" s="5" t="inlineStr">
        <is>
          <t>https://www.sportdog.gr/podosfairo/superleague/955737/epibebaiwsh-sportdog-kai-oristikes-ekselikseis-me-loytseskoy-to-apofasise</t>
        </is>
      </c>
      <c r="E110" s="8" t="inlineStr">
        <is>
          <t>Επιβεβαίωση Sportdog και οριστικές εξελίξεις με Λουτσέσκου - Το αποφάσισε!</t>
        </is>
      </c>
      <c r="F110" s="8" t="inlineStr">
        <is>
          <t>YES</t>
        </is>
      </c>
      <c r="G110" s="8" t="inlineStr">
        <is>
          <t>PAOK Team</t>
        </is>
      </c>
      <c r="H110" s="8" t="inlineStr">
        <is>
          <t>PAOK</t>
        </is>
      </c>
      <c r="I110" s="8" t="inlineStr">
        <is>
          <t>transfer</t>
        </is>
      </c>
      <c r="J110" s="4" t="n">
        <v>46201</v>
      </c>
      <c r="K110" s="8" t="inlineStr">
        <is>
          <t>exact</t>
        </is>
      </c>
      <c r="L110" s="8" t="n">
        <v>2</v>
      </c>
      <c r="M110" s="8" t="inlineStr">
        <is>
          <t>high</t>
        </is>
      </c>
      <c r="N110" s="6" t="n"/>
      <c r="O110" s="6" t="n"/>
      <c r="P110" s="6" t="n"/>
      <c r="Q110" s="13" t="inlineStr">
        <is>
          <t>Lucescu is set to move to Qatar and sign a two-year deal with Al Sadd.</t>
        </is>
      </c>
      <c r="R110" s="8" t="n"/>
    </row>
    <row r="111" ht="15" customHeight="1" s="30">
      <c r="A111" s="8" t="inlineStr">
        <is>
          <t>SDOG054</t>
        </is>
      </c>
      <c r="B111" s="4" t="n">
        <v>46212</v>
      </c>
      <c r="C111" s="8" t="inlineStr">
        <is>
          <t>Sportdog</t>
        </is>
      </c>
      <c r="D111" s="5" t="inlineStr">
        <is>
          <t>https://www.sportdog.gr/podosfairo/superleague/954920/blepoyn-apoxwrhsh-ksenoy-apo-ton-paok-se-proxwrhmenes-diapragmateyseis</t>
        </is>
      </c>
      <c r="E111" s="8" t="inlineStr">
        <is>
          <t>Βλέπουν αποχώρηση ξένου από τον ΠΑΟΚ - Σε προχωρημένες διαπραγματεύσεις</t>
        </is>
      </c>
      <c r="F111" s="8" t="inlineStr">
        <is>
          <t>YES</t>
        </is>
      </c>
      <c r="G111" s="8" t="inlineStr">
        <is>
          <t>PAOK Team</t>
        </is>
      </c>
      <c r="H111" s="8" t="inlineStr">
        <is>
          <t>PAOK</t>
        </is>
      </c>
      <c r="I111" s="8" t="inlineStr">
        <is>
          <t>transfer</t>
        </is>
      </c>
      <c r="J111" s="4" t="n">
        <v>46196</v>
      </c>
      <c r="K111" s="8" t="inlineStr">
        <is>
          <t>exact</t>
        </is>
      </c>
      <c r="L111" s="8" t="n">
        <v>2</v>
      </c>
      <c r="M111" s="8" t="inlineStr">
        <is>
          <t>high</t>
        </is>
      </c>
      <c r="N111" s="6" t="n"/>
      <c r="O111" s="6" t="n"/>
      <c r="P111" s="6" t="n"/>
      <c r="Q111" s="13" t="inlineStr">
        <is>
          <t>Reports say Sanchez is close to returning to Mexican football with Atlas.</t>
        </is>
      </c>
      <c r="R111" s="8" t="n"/>
    </row>
    <row r="112" ht="15" customHeight="1" s="30">
      <c r="A112" s="8" t="inlineStr">
        <is>
          <t>SDOG055</t>
        </is>
      </c>
      <c r="B112" s="4" t="n">
        <v>46212</v>
      </c>
      <c r="C112" s="8" t="inlineStr">
        <is>
          <t>Sportdog</t>
        </is>
      </c>
      <c r="D112" s="5" t="inlineStr">
        <is>
          <t>https://www.sportdog.gr/podosfairo/superleague/949878/paikths-toy-olympiakoy-ypografei-sthn-mpraiton</t>
        </is>
      </c>
      <c r="E112" s="8" t="inlineStr">
        <is>
          <t>Παίκτης του Ολυμπιακού υπογράφει στην Μπράιτον! - Sportdog.gr</t>
        </is>
      </c>
      <c r="F112" s="8" t="inlineStr">
        <is>
          <t>YES</t>
        </is>
      </c>
      <c r="G112" s="8" t="inlineStr">
        <is>
          <t>Costinha</t>
        </is>
      </c>
      <c r="H112" s="8" t="inlineStr">
        <is>
          <t>Olympiakos</t>
        </is>
      </c>
      <c r="I112" s="8" t="inlineStr">
        <is>
          <t>transfer</t>
        </is>
      </c>
      <c r="J112" s="4" t="n">
        <v>46162</v>
      </c>
      <c r="K112" s="8" t="inlineStr">
        <is>
          <t>exact</t>
        </is>
      </c>
      <c r="L112" s="8" t="n">
        <v>2</v>
      </c>
      <c r="M112" s="8" t="inlineStr">
        <is>
          <t>high</t>
        </is>
      </c>
      <c r="N112" s="6" t="n"/>
      <c r="O112" s="6" t="n"/>
      <c r="P112" s="6" t="n"/>
      <c r="Q112" s="13" t="inlineStr">
        <is>
          <t>Costinha is in the final stretch of a move to Brighton.</t>
        </is>
      </c>
      <c r="R112" s="8" t="n"/>
    </row>
    <row r="113" ht="16.5" customHeight="1" s="30">
      <c r="A113" s="8" t="inlineStr">
        <is>
          <t>SDOG056</t>
        </is>
      </c>
      <c r="B113" s="4" t="n">
        <v>46212</v>
      </c>
      <c r="C113" s="8" t="inlineStr">
        <is>
          <t>Sportdog</t>
        </is>
      </c>
      <c r="D113" s="5" t="inlineStr">
        <is>
          <t>https://www.sportdog.gr/podosfairo/superleague/951179/ofh-ekleise-thn-megalh-epistrofh-mpoyxalakh</t>
        </is>
      </c>
      <c r="E113" s="8" t="inlineStr">
        <is>
          <t>Έκλεισε την μεγάλη επιστροφή Μπουχαλάκη! - Sportdog.gr</t>
        </is>
      </c>
      <c r="F113" s="8" t="inlineStr">
        <is>
          <t>YES</t>
        </is>
      </c>
      <c r="G113" s="8" t="inlineStr">
        <is>
          <t>Andreas Bouchalakis</t>
        </is>
      </c>
      <c r="H113" s="8" t="inlineStr">
        <is>
          <t>OFI</t>
        </is>
      </c>
      <c r="I113" s="8" t="inlineStr">
        <is>
          <t>transfer</t>
        </is>
      </c>
      <c r="J113" s="4" t="n">
        <v>46170</v>
      </c>
      <c r="K113" s="8" t="inlineStr">
        <is>
          <t>exact</t>
        </is>
      </c>
      <c r="L113" s="8" t="n">
        <v>2</v>
      </c>
      <c r="M113" s="8" t="inlineStr">
        <is>
          <t>high</t>
        </is>
      </c>
      <c r="N113" s="6" t="n"/>
      <c r="O113" s="6" t="n"/>
      <c r="P113" s="6" t="n"/>
      <c r="Q113" s="13" t="inlineStr">
        <is>
          <t>Bouchalakis returns to Crete on a two-year deal with OFI.</t>
        </is>
      </c>
      <c r="R113" s="8" t="n"/>
    </row>
    <row r="114" ht="15" customHeight="1" s="30">
      <c r="A114" s="8" t="inlineStr">
        <is>
          <t>SDOG058</t>
        </is>
      </c>
      <c r="B114" s="4" t="n">
        <v>46212</v>
      </c>
      <c r="C114" s="8" t="inlineStr">
        <is>
          <t>Sportdog</t>
        </is>
      </c>
      <c r="D114" s="5" t="inlineStr">
        <is>
          <t>https://www.sportdog.gr/podosfairo/superleague/954792/syzygos-paikth-ths-aek-zestathhke-kai-zestane-toys-followers-ths-fwto</t>
        </is>
      </c>
      <c r="E114" s="8" t="inlineStr">
        <is>
          <t>Σύζυγος παίκτη της ΑΕΚ ζεστάθηκε και εμφανίστηκε με μαγιό ...</t>
        </is>
      </c>
      <c r="F114" s="8" t="inlineStr">
        <is>
          <t>YES</t>
        </is>
      </c>
      <c r="G114" s="8" t="inlineStr">
        <is>
          <t>Domagoj Vida</t>
        </is>
      </c>
      <c r="H114" s="8" t="inlineStr">
        <is>
          <t>AEK</t>
        </is>
      </c>
      <c r="I114" s="8" t="inlineStr">
        <is>
          <t>other</t>
        </is>
      </c>
      <c r="J114" s="4" t="n">
        <v>46197</v>
      </c>
      <c r="K114" s="8" t="inlineStr">
        <is>
          <t>exact</t>
        </is>
      </c>
      <c r="L114" s="8" t="n">
        <v>1</v>
      </c>
      <c r="M114" s="8" t="inlineStr">
        <is>
          <t>medium</t>
        </is>
      </c>
      <c r="N114" s="6" t="n"/>
      <c r="O114" s="6" t="n"/>
      <c r="P114" s="6" t="n"/>
      <c r="Q114" s="13" t="inlineStr">
        <is>
          <t>Lifestyle/social-media event around an AEK player’s spouse.</t>
        </is>
      </c>
      <c r="R114" s="8" t="n"/>
      <c r="S114" t="inlineStr">
        <is>
          <t>drop_not_player</t>
        </is>
      </c>
      <c r="T114" t="inlineStr">
        <is>
          <t>Tabloid photo of player's wife — not the player's own event</t>
        </is>
      </c>
    </row>
    <row r="115" ht="15" customHeight="1" s="30">
      <c r="A115" s="8" t="inlineStr">
        <is>
          <t>SDOG061</t>
        </is>
      </c>
      <c r="B115" s="4" t="n">
        <v>46212</v>
      </c>
      <c r="C115" s="8" t="inlineStr">
        <is>
          <t>Sportdog</t>
        </is>
      </c>
      <c r="D115" s="5" t="inlineStr">
        <is>
          <t>https://www.sportdog.gr/podosfairo/superleague/864906/gia-prwth-fora-pateras-o-giwrgos-sabbidhs-fwto</t>
        </is>
      </c>
      <c r="E115" s="8" t="inlineStr">
        <is>
          <t>Για πρώτη φορά πατέρας ο Γιώργος Σαββίδης (ΦΩΤΟ)</t>
        </is>
      </c>
      <c r="F115" s="8" t="inlineStr">
        <is>
          <t>YES</t>
        </is>
      </c>
      <c r="G115" s="8" t="inlineStr">
        <is>
          <t>Giorgos Savvidis</t>
        </is>
      </c>
      <c r="H115" s="8" t="inlineStr">
        <is>
          <t>PAOK</t>
        </is>
      </c>
      <c r="I115" s="8" t="inlineStr">
        <is>
          <t>other</t>
        </is>
      </c>
      <c r="J115" s="4" t="n">
        <v>45639</v>
      </c>
      <c r="K115" s="8" t="inlineStr">
        <is>
          <t>exact</t>
        </is>
      </c>
      <c r="L115" s="8" t="n">
        <v>3</v>
      </c>
      <c r="M115" s="8" t="inlineStr">
        <is>
          <t>high</t>
        </is>
      </c>
      <c r="N115" s="6" t="n"/>
      <c r="O115" s="6" t="n"/>
      <c r="P115" s="6" t="n"/>
      <c r="Q115" s="13" t="inlineStr">
        <is>
          <t>PAOK owner’s son becomes a father for the first time; birth announced by his wife.</t>
        </is>
      </c>
      <c r="R115" s="8" t="n"/>
      <c r="S115" t="inlineStr">
        <is>
          <t>positive</t>
        </is>
      </c>
      <c r="T115" t="inlineStr">
        <is>
          <t>Birth of child</t>
        </is>
      </c>
    </row>
    <row r="116" ht="16.5" customHeight="1" s="30">
      <c r="A116" s="8" t="inlineStr">
        <is>
          <t>SDOG062</t>
        </is>
      </c>
      <c r="B116" s="4" t="n">
        <v>46212</v>
      </c>
      <c r="C116" s="8" t="inlineStr">
        <is>
          <t>Sportdog</t>
        </is>
      </c>
      <c r="D116" s="5" t="inlineStr">
        <is>
          <t>https://www.sportdog.gr/podosfairo/superleague/678846/sok-sobaro-troxaio-atyxhma-gia-ton-aleksh-koygia-dialythhke-to-aytokinhto</t>
        </is>
      </c>
      <c r="E116" s="8" t="inlineStr">
        <is>
          <t>ΣΟΚ: Σοβαρό τροχαίο ατύχημα για τον Αλέξη Κούγια ...</t>
        </is>
      </c>
      <c r="F116" s="8" t="inlineStr">
        <is>
          <t>YES</t>
        </is>
      </c>
      <c r="G116" s="8" t="inlineStr">
        <is>
          <t>AEL Team</t>
        </is>
      </c>
      <c r="H116" s="8" t="inlineStr">
        <is>
          <t>AEL / club president</t>
        </is>
      </c>
      <c r="I116" s="8" t="inlineStr">
        <is>
          <t>other</t>
        </is>
      </c>
      <c r="J116" s="4" t="n">
        <v>45595</v>
      </c>
      <c r="K116" s="8" t="inlineStr">
        <is>
          <t>exact</t>
        </is>
      </c>
      <c r="L116" s="8" t="n">
        <v>2</v>
      </c>
      <c r="M116" s="8" t="inlineStr">
        <is>
          <t>medium</t>
        </is>
      </c>
      <c r="N116" s="6" t="n"/>
      <c r="O116" s="6" t="n"/>
      <c r="P116" s="6" t="n"/>
      <c r="Q116" s="13" t="inlineStr">
        <is>
          <t>Club owner and lawyer survives a serious car crash that destroys his vehicle.</t>
        </is>
      </c>
      <c r="R116" s="8" t="n"/>
    </row>
    <row r="117" ht="15" customHeight="1" s="30">
      <c r="A117" s="8" t="inlineStr">
        <is>
          <t>SDOG063</t>
        </is>
      </c>
      <c r="B117" s="4" t="n">
        <v>46212</v>
      </c>
      <c r="C117" s="8" t="inlineStr">
        <is>
          <t>Sportdog</t>
        </is>
      </c>
      <c r="D117" s="5" t="inlineStr">
        <is>
          <t>https://www.sportdog.gr/podosfairo/superleague/950288/sobares-ataggelies-giatroy-gia-to-troxaio-toy-marioy-oikonomoy</t>
        </is>
      </c>
      <c r="E117" s="8" t="inlineStr">
        <is>
          <t>Σοβαρές αταγγελίες γιατρού για το τροχαίο του Μάριου Οικονόμου!</t>
        </is>
      </c>
      <c r="F117" s="8" t="inlineStr">
        <is>
          <t>YES</t>
        </is>
      </c>
      <c r="G117" s="8" t="inlineStr">
        <is>
          <t>AEK Team</t>
        </is>
      </c>
      <c r="H117" s="8" t="inlineStr">
        <is>
          <t>AEK (former)</t>
        </is>
      </c>
      <c r="I117" s="8" t="inlineStr">
        <is>
          <t>other</t>
        </is>
      </c>
      <c r="J117" s="4" t="n">
        <v>46164</v>
      </c>
      <c r="K117" s="8" t="inlineStr">
        <is>
          <t>exact</t>
        </is>
      </c>
      <c r="L117" s="8" t="n">
        <v>4</v>
      </c>
      <c r="M117" s="8" t="inlineStr">
        <is>
          <t>high</t>
        </is>
      </c>
      <c r="N117" s="6" t="n"/>
      <c r="O117" s="6" t="n"/>
      <c r="P117" s="6" t="n"/>
      <c r="Q117" s="13" t="inlineStr">
        <is>
          <t>Former defender in critical condition after a major road accident; surgeon publicly denounces local authorities’ responsibility.</t>
        </is>
      </c>
      <c r="R117" s="8" t="n"/>
    </row>
    <row r="118" ht="15" customHeight="1" s="30">
      <c r="A118" s="8" t="inlineStr">
        <is>
          <t>SDOG064</t>
        </is>
      </c>
      <c r="B118" s="4" t="n">
        <v>46212</v>
      </c>
      <c r="C118" s="8" t="inlineStr">
        <is>
          <t>Sportdog</t>
        </is>
      </c>
      <c r="D118" s="5" t="inlineStr">
        <is>
          <t>https://www.sportdog.gr/podosfairo/superleague/951360/krisimes-wres-gia-ton-mario-oikonomoy-ksekinoyn-test-egkefalikoy-thanatoy</t>
        </is>
      </c>
      <c r="E118" s="8" t="inlineStr">
        <is>
          <t>Κρίσιμες ώρες για τον Μάριο Οικονόμου - Ξεκινούν τεστ εγκεφαλικού ...</t>
        </is>
      </c>
      <c r="F118" s="8" t="inlineStr">
        <is>
          <t>YES</t>
        </is>
      </c>
      <c r="G118" s="8" t="inlineStr">
        <is>
          <t>AEK Team</t>
        </is>
      </c>
      <c r="H118" s="8" t="inlineStr">
        <is>
          <t>AEK (former)</t>
        </is>
      </c>
      <c r="I118" s="8" t="inlineStr">
        <is>
          <t>other</t>
        </is>
      </c>
      <c r="J118" s="4" t="n">
        <v>46165</v>
      </c>
      <c r="K118" s="8" t="inlineStr">
        <is>
          <t>exact</t>
        </is>
      </c>
      <c r="L118" s="8" t="n">
        <v>4</v>
      </c>
      <c r="M118" s="8" t="inlineStr">
        <is>
          <t>high</t>
        </is>
      </c>
      <c r="N118" s="6" t="n"/>
      <c r="O118" s="6" t="n"/>
      <c r="P118" s="6" t="n"/>
      <c r="Q118" s="13" t="inlineStr">
        <is>
          <t>Doctors begin brain-death testing as his condition remains extremely critical after the crash.</t>
        </is>
      </c>
      <c r="R118" s="8" t="n"/>
    </row>
    <row r="119" ht="16.5" customHeight="1" s="30">
      <c r="A119" s="8" t="inlineStr">
        <is>
          <t>SDOG065</t>
        </is>
      </c>
      <c r="B119" s="4" t="n">
        <v>46212</v>
      </c>
      <c r="C119" s="8" t="inlineStr">
        <is>
          <t>Sportdog</t>
        </is>
      </c>
      <c r="D119" s="5" t="inlineStr">
        <is>
          <t>https://www.sportdog.gr/podosfairo/superleague/951586/kai-o-olympiakos-gia-oikonomoy-ldquo-bathia-h-thlipsh-rdquo</t>
        </is>
      </c>
      <c r="E119" s="8" t="inlineStr">
        <is>
          <t>Και ο Ολυμπιακός για Οικονόμου - “Βαθιά η θλίψη…”</t>
        </is>
      </c>
      <c r="F119" s="8" t="inlineStr">
        <is>
          <t>YES</t>
        </is>
      </c>
      <c r="G119" s="8" t="inlineStr">
        <is>
          <t>AEK Team</t>
        </is>
      </c>
      <c r="H119" s="8" t="inlineStr">
        <is>
          <t>Olympiakos / AEK (former)</t>
        </is>
      </c>
      <c r="I119" s="8" t="inlineStr">
        <is>
          <t>bereavement</t>
        </is>
      </c>
      <c r="J119" s="4" t="n">
        <v>46174</v>
      </c>
      <c r="K119" s="8" t="inlineStr">
        <is>
          <t>exact</t>
        </is>
      </c>
      <c r="L119" s="8" t="n">
        <v>4</v>
      </c>
      <c r="M119" s="8" t="inlineStr">
        <is>
          <t>high</t>
        </is>
      </c>
      <c r="N119" s="6" t="n"/>
      <c r="O119" s="6" t="n"/>
      <c r="P119" s="6" t="n"/>
      <c r="Q119" s="13" t="inlineStr">
        <is>
          <t>Olympiakos issues condolences after Oikonomou dies from injuries sustained in the car accident.</t>
        </is>
      </c>
      <c r="R119" s="8" t="n"/>
    </row>
    <row r="120" ht="15" customHeight="1" s="30">
      <c r="A120" s="8" t="inlineStr">
        <is>
          <t>SDOG066</t>
        </is>
      </c>
      <c r="B120" s="4" t="n">
        <v>46212</v>
      </c>
      <c r="C120" s="8" t="inlineStr">
        <is>
          <t>Sportdog</t>
        </is>
      </c>
      <c r="D120" s="5" t="inlineStr">
        <is>
          <t>https://www.sportdog.gr/podosfairo/superleague/951569/nekropsia-gia-ta-aitia-thanatoy-toy-marioy-oikonomoy-psaxnoyn-neoys-martyrs</t>
        </is>
      </c>
      <c r="E120" s="8" t="inlineStr">
        <is>
          <t>Νεκροψία για τα αίτια θανάτου του Μάριου Οικονόμου - Ψάχνουν ...</t>
        </is>
      </c>
      <c r="F120" s="8" t="inlineStr">
        <is>
          <t>YES</t>
        </is>
      </c>
      <c r="G120" s="8" t="inlineStr">
        <is>
          <t>AEK Team</t>
        </is>
      </c>
      <c r="H120" s="8" t="inlineStr">
        <is>
          <t>Olympiakos / AEK (former)</t>
        </is>
      </c>
      <c r="I120" s="8" t="inlineStr">
        <is>
          <t>bereavement</t>
        </is>
      </c>
      <c r="J120" s="4" t="n">
        <v>46175</v>
      </c>
      <c r="K120" s="8" t="inlineStr">
        <is>
          <t>exact</t>
        </is>
      </c>
      <c r="L120" s="8" t="n">
        <v>4</v>
      </c>
      <c r="M120" s="8" t="inlineStr">
        <is>
          <t>high</t>
        </is>
      </c>
      <c r="N120" s="6" t="n"/>
      <c r="O120" s="6" t="n"/>
      <c r="P120" s="6" t="n"/>
      <c r="Q120" s="13" t="inlineStr">
        <is>
          <t>Authorities order autopsy and widen investigation into circumstances of the fatal crash.</t>
        </is>
      </c>
      <c r="R120" s="8" t="n"/>
    </row>
    <row r="121" ht="16.5" customHeight="1" s="30">
      <c r="A121" s="8" t="n"/>
      <c r="B121" s="4" t="n"/>
      <c r="C121" s="8" t="n"/>
      <c r="D121" s="8" t="n"/>
      <c r="E121" s="8" t="n"/>
      <c r="F121" s="8" t="n"/>
      <c r="G121" s="8" t="n"/>
      <c r="H121" s="8" t="n"/>
      <c r="I121" s="8" t="n"/>
      <c r="J121" s="4" t="n"/>
      <c r="K121" s="8" t="n"/>
      <c r="L121" s="8" t="n"/>
      <c r="M121" s="8" t="n"/>
      <c r="N121" s="6" t="n"/>
      <c r="O121" s="6" t="n"/>
      <c r="P121" s="6" t="n"/>
      <c r="Q121" s="13" t="n"/>
      <c r="R121" s="8" t="n"/>
    </row>
    <row r="122" ht="15" customHeight="1" s="30">
      <c r="A122" s="8" t="n"/>
      <c r="B122" s="4" t="n"/>
      <c r="C122" s="8" t="n"/>
      <c r="D122" s="8" t="n"/>
      <c r="E122" s="8" t="n"/>
      <c r="F122" s="8" t="n"/>
      <c r="G122" s="8" t="n"/>
      <c r="H122" s="8" t="n"/>
      <c r="I122" s="8" t="n"/>
      <c r="J122" s="4" t="n"/>
      <c r="K122" s="8" t="n"/>
      <c r="L122" s="8" t="n"/>
      <c r="M122" s="8" t="n"/>
      <c r="N122" s="6" t="n"/>
      <c r="O122" s="6" t="n"/>
      <c r="P122" s="6" t="n"/>
      <c r="Q122" s="13" t="n"/>
      <c r="R122" s="8" t="n"/>
    </row>
    <row r="123" ht="15" customHeight="1" s="30">
      <c r="A123" s="8" t="n"/>
      <c r="B123" s="4" t="n"/>
      <c r="C123" s="8" t="n"/>
      <c r="D123" s="8" t="n"/>
      <c r="E123" s="8" t="n"/>
      <c r="F123" s="8" t="n"/>
      <c r="G123" s="8" t="n"/>
      <c r="H123" s="8" t="n"/>
      <c r="I123" s="8" t="n"/>
      <c r="J123" s="4" t="n"/>
      <c r="K123" s="8" t="n"/>
      <c r="L123" s="8" t="n"/>
      <c r="M123" s="8" t="n"/>
      <c r="N123" s="6" t="n"/>
      <c r="O123" s="6" t="n"/>
      <c r="P123" s="6" t="n"/>
      <c r="Q123" s="13" t="n"/>
      <c r="R123" s="8" t="n"/>
    </row>
    <row r="124" ht="15" customHeight="1" s="30">
      <c r="A124" s="8" t="n"/>
      <c r="B124" s="4" t="n"/>
      <c r="C124" s="8" t="n"/>
      <c r="D124" s="8" t="n"/>
      <c r="E124" s="8" t="n"/>
      <c r="F124" s="8" t="n"/>
      <c r="G124" s="8" t="n"/>
      <c r="H124" s="8" t="n"/>
      <c r="I124" s="8" t="n"/>
      <c r="J124" s="4" t="n"/>
      <c r="K124" s="8" t="n"/>
      <c r="L124" s="8" t="n"/>
      <c r="M124" s="8" t="n"/>
      <c r="N124" s="6" t="n"/>
      <c r="O124" s="6" t="n"/>
      <c r="P124" s="6" t="n"/>
      <c r="Q124" s="13" t="n"/>
      <c r="R124" s="8" t="n"/>
    </row>
    <row r="125" ht="15" customHeight="1" s="30">
      <c r="A125" s="8" t="n"/>
      <c r="B125" s="4" t="n"/>
      <c r="C125" s="8" t="n"/>
      <c r="D125" s="8" t="n"/>
      <c r="E125" s="8" t="n"/>
      <c r="F125" s="8" t="n"/>
      <c r="G125" s="8" t="n"/>
      <c r="H125" s="8" t="n"/>
      <c r="I125" s="8" t="n"/>
      <c r="J125" s="4" t="n"/>
      <c r="K125" s="8" t="n"/>
      <c r="L125" s="8" t="n"/>
      <c r="M125" s="8" t="n"/>
      <c r="N125" s="6" t="n"/>
      <c r="O125" s="6" t="n"/>
      <c r="P125" s="6" t="n"/>
      <c r="Q125" s="13" t="n"/>
      <c r="R125" s="8" t="n"/>
    </row>
    <row r="126" ht="15" customHeight="1" s="30">
      <c r="A126" s="8" t="n"/>
      <c r="B126" s="4" t="n"/>
      <c r="C126" s="8" t="n"/>
      <c r="D126" s="8" t="n"/>
      <c r="E126" s="8" t="n"/>
      <c r="F126" s="8" t="n"/>
      <c r="G126" s="8" t="n"/>
      <c r="H126" s="8" t="n"/>
      <c r="I126" s="8" t="n"/>
      <c r="J126" s="4" t="n"/>
      <c r="K126" s="8" t="n"/>
      <c r="L126" s="8" t="n"/>
      <c r="M126" s="8" t="n"/>
      <c r="N126" s="6" t="n"/>
      <c r="O126" s="6" t="n"/>
      <c r="P126" s="6" t="n"/>
      <c r="Q126" s="13" t="n"/>
      <c r="R126" s="8" t="n"/>
    </row>
    <row r="127" ht="15" customHeight="1" s="30">
      <c r="A127" s="8" t="n"/>
      <c r="B127" s="4" t="n"/>
      <c r="C127" s="8" t="n"/>
      <c r="D127" s="8" t="n"/>
      <c r="E127" s="8" t="n"/>
      <c r="F127" s="8" t="n"/>
      <c r="G127" s="8" t="n"/>
      <c r="H127" s="8" t="n"/>
      <c r="I127" s="8" t="n"/>
      <c r="J127" s="4" t="n"/>
      <c r="K127" s="8" t="n"/>
      <c r="L127" s="8" t="n"/>
      <c r="M127" s="8" t="n"/>
      <c r="N127" s="6" t="n"/>
      <c r="O127" s="6" t="n"/>
      <c r="P127" s="6" t="n"/>
      <c r="Q127" s="13" t="n"/>
      <c r="R127" s="8" t="n"/>
    </row>
    <row r="128" ht="15" customHeight="1" s="30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6" t="n"/>
      <c r="O128" s="6" t="n"/>
      <c r="P128" s="6" t="n"/>
      <c r="Q128" s="13">
        <f>IF(OR($F128="",$N128=""),"",IF(AND($F128="YES",$N128="YES"),"TP",IF(AND($F128="NO",$N128="YES"),"FP",IF(AND($F128="YES",$N128="NO"),"FN","TN"))))</f>
        <v/>
      </c>
      <c r="R128" s="8" t="n"/>
    </row>
    <row r="129" ht="15" customHeight="1" s="30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6" t="n"/>
      <c r="O129" s="6" t="n"/>
      <c r="P129" s="6" t="n"/>
      <c r="Q129" s="13">
        <f>IF(OR($F129="",$N129=""),"",IF(AND($F129="YES",$N129="YES"),"TP",IF(AND($F129="NO",$N129="YES"),"FP",IF(AND($F129="YES",$N129="NO"),"FN","TN"))))</f>
        <v/>
      </c>
      <c r="R129" s="8" t="n"/>
    </row>
    <row r="130" ht="15" customHeight="1" s="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6" t="n"/>
      <c r="O130" s="6" t="n"/>
      <c r="P130" s="6" t="n"/>
      <c r="Q130" s="13">
        <f>IF(OR($F130="",$N130=""),"",IF(AND($F130="YES",$N130="YES"),"TP",IF(AND($F130="NO",$N130="YES"),"FP",IF(AND($F130="YES",$N130="NO"),"FN","TN"))))</f>
        <v/>
      </c>
      <c r="R130" s="8" t="n"/>
    </row>
    <row r="131" ht="15" customHeight="1" s="30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6" t="n"/>
      <c r="O131" s="6" t="n"/>
      <c r="P131" s="6" t="n"/>
      <c r="Q131" s="13">
        <f>IF(OR($F131="",$N131=""),"",IF(AND($F131="YES",$N131="YES"),"TP",IF(AND($F131="NO",$N131="YES"),"FP",IF(AND($F131="YES",$N131="NO"),"FN","TN"))))</f>
        <v/>
      </c>
      <c r="R131" s="8" t="n"/>
    </row>
    <row r="132" ht="15" customHeight="1" s="30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6" t="n"/>
      <c r="O132" s="6" t="n"/>
      <c r="P132" s="6" t="n"/>
      <c r="Q132" s="13">
        <f>IF(OR($F132="",$N132=""),"",IF(AND($F132="YES",$N132="YES"),"TP",IF(AND($F132="NO",$N132="YES"),"FP",IF(AND($F132="YES",$N132="NO"),"FN","TN"))))</f>
        <v/>
      </c>
      <c r="R132" s="8" t="n"/>
    </row>
    <row r="133" ht="15" customHeight="1" s="30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6" t="n"/>
      <c r="O133" s="6" t="n"/>
      <c r="P133" s="6" t="n"/>
      <c r="Q133" s="13">
        <f>IF(OR($F133="",$N133=""),"",IF(AND($F133="YES",$N133="YES"),"TP",IF(AND($F133="NO",$N133="YES"),"FP",IF(AND($F133="YES",$N133="NO"),"FN","TN"))))</f>
        <v/>
      </c>
      <c r="R133" s="8" t="n"/>
    </row>
    <row r="134" ht="15" customHeight="1" s="30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6" t="n"/>
      <c r="O134" s="6" t="n"/>
      <c r="P134" s="6" t="n"/>
      <c r="Q134" s="13">
        <f>IF(OR($F134="",$N134=""),"",IF(AND($F134="YES",$N134="YES"),"TP",IF(AND($F134="NO",$N134="YES"),"FP",IF(AND($F134="YES",$N134="NO"),"FN","TN"))))</f>
        <v/>
      </c>
      <c r="R134" s="8" t="n"/>
    </row>
    <row r="135" ht="15" customHeight="1" s="30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6" t="n"/>
      <c r="O135" s="6" t="n"/>
      <c r="P135" s="6" t="n"/>
      <c r="Q135" s="13">
        <f>IF(OR($F135="",$N135=""),"",IF(AND($F135="YES",$N135="YES"),"TP",IF(AND($F135="NO",$N135="YES"),"FP",IF(AND($F135="YES",$N135="NO"),"FN","TN"))))</f>
        <v/>
      </c>
      <c r="R135" s="8" t="n"/>
    </row>
    <row r="136" ht="15" customHeight="1" s="30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6" t="n"/>
      <c r="O136" s="6" t="n"/>
      <c r="P136" s="6" t="n"/>
      <c r="Q136" s="13">
        <f>IF(OR($F136="",$N136=""),"",IF(AND($F136="YES",$N136="YES"),"TP",IF(AND($F136="NO",$N136="YES"),"FP",IF(AND($F136="YES",$N136="NO"),"FN","TN"))))</f>
        <v/>
      </c>
      <c r="R136" s="8" t="n"/>
    </row>
    <row r="137" ht="15" customHeight="1" s="30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6" t="n"/>
      <c r="O137" s="6" t="n"/>
      <c r="P137" s="6" t="n"/>
      <c r="Q137" s="13">
        <f>IF(OR($F137="",$N137=""),"",IF(AND($F137="YES",$N137="YES"),"TP",IF(AND($F137="NO",$N137="YES"),"FP",IF(AND($F137="YES",$N137="NO"),"FN","TN"))))</f>
        <v/>
      </c>
      <c r="R137" s="8" t="n"/>
    </row>
    <row r="138" ht="15" customHeight="1" s="30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6" t="n"/>
      <c r="O138" s="6" t="n"/>
      <c r="P138" s="6" t="n"/>
      <c r="Q138" s="13">
        <f>IF(OR($F138="",$N138=""),"",IF(AND($F138="YES",$N138="YES"),"TP",IF(AND($F138="NO",$N138="YES"),"FP",IF(AND($F138="YES",$N138="NO"),"FN","TN"))))</f>
        <v/>
      </c>
      <c r="R138" s="8" t="n"/>
    </row>
    <row r="139" ht="15" customHeight="1" s="30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6" t="n"/>
      <c r="O139" s="6" t="n"/>
      <c r="P139" s="6" t="n"/>
      <c r="Q139" s="13">
        <f>IF(OR($F139="",$N139=""),"",IF(AND($F139="YES",$N139="YES"),"TP",IF(AND($F139="NO",$N139="YES"),"FP",IF(AND($F139="YES",$N139="NO"),"FN","TN"))))</f>
        <v/>
      </c>
      <c r="R139" s="8" t="n"/>
    </row>
    <row r="140" ht="15" customHeight="1" s="3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6" t="n"/>
      <c r="O140" s="6" t="n"/>
      <c r="P140" s="6" t="n"/>
      <c r="Q140" s="13">
        <f>IF(OR($F140="",$N140=""),"",IF(AND($F140="YES",$N140="YES"),"TP",IF(AND($F140="NO",$N140="YES"),"FP",IF(AND($F140="YES",$N140="NO"),"FN","TN"))))</f>
        <v/>
      </c>
      <c r="R140" s="8" t="n"/>
    </row>
    <row r="141" ht="15" customHeight="1" s="30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6" t="n"/>
      <c r="O141" s="6" t="n"/>
      <c r="P141" s="6" t="n"/>
      <c r="Q141" s="13">
        <f>IF(OR($F141="",$N141=""),"",IF(AND($F141="YES",$N141="YES"),"TP",IF(AND($F141="NO",$N141="YES"),"FP",IF(AND($F141="YES",$N141="NO"),"FN","TN"))))</f>
        <v/>
      </c>
      <c r="R141" s="8" t="n"/>
    </row>
    <row r="142" ht="15" customHeight="1" s="30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6" t="n"/>
      <c r="O142" s="6" t="n"/>
      <c r="P142" s="6" t="n"/>
      <c r="Q142" s="13">
        <f>IF(OR($F142="",$N142=""),"",IF(AND($F142="YES",$N142="YES"),"TP",IF(AND($F142="NO",$N142="YES"),"FP",IF(AND($F142="YES",$N142="NO"),"FN","TN"))))</f>
        <v/>
      </c>
      <c r="R142" s="8" t="n"/>
    </row>
    <row r="143" ht="15" customHeight="1" s="30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6" t="n"/>
      <c r="O143" s="6" t="n"/>
      <c r="P143" s="6" t="n"/>
      <c r="Q143" s="13">
        <f>IF(OR($F143="",$N143=""),"",IF(AND($F143="YES",$N143="YES"),"TP",IF(AND($F143="NO",$N143="YES"),"FP",IF(AND($F143="YES",$N143="NO"),"FN","TN"))))</f>
        <v/>
      </c>
      <c r="R143" s="8" t="n"/>
    </row>
    <row r="144" ht="15" customHeight="1" s="30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6" t="n"/>
      <c r="O144" s="6" t="n"/>
      <c r="P144" s="6" t="n"/>
      <c r="Q144" s="13">
        <f>IF(OR($F144="",$N144=""),"",IF(AND($F144="YES",$N144="YES"),"TP",IF(AND($F144="NO",$N144="YES"),"FP",IF(AND($F144="YES",$N144="NO"),"FN","TN"))))</f>
        <v/>
      </c>
      <c r="R144" s="8" t="n"/>
    </row>
    <row r="145" ht="15" customHeight="1" s="30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6" t="n"/>
      <c r="O145" s="6" t="n"/>
      <c r="P145" s="6" t="n"/>
      <c r="Q145" s="13">
        <f>IF(OR($F145="",$N145=""),"",IF(AND($F145="YES",$N145="YES"),"TP",IF(AND($F145="NO",$N145="YES"),"FP",IF(AND($F145="YES",$N145="NO"),"FN","TN"))))</f>
        <v/>
      </c>
      <c r="R145" s="8" t="n"/>
    </row>
    <row r="146" ht="15" customHeight="1" s="30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6" t="n"/>
      <c r="O146" s="6" t="n"/>
      <c r="P146" s="6" t="n"/>
      <c r="Q146" s="13">
        <f>IF(OR($F146="",$N146=""),"",IF(AND($F146="YES",$N146="YES"),"TP",IF(AND($F146="NO",$N146="YES"),"FP",IF(AND($F146="YES",$N146="NO"),"FN","TN"))))</f>
        <v/>
      </c>
      <c r="R146" s="8" t="n"/>
    </row>
    <row r="147" ht="15" customHeight="1" s="30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6" t="n"/>
      <c r="O147" s="6" t="n"/>
      <c r="P147" s="6" t="n"/>
      <c r="Q147" s="13">
        <f>IF(OR($F147="",$N147=""),"",IF(AND($F147="YES",$N147="YES"),"TP",IF(AND($F147="NO",$N147="YES"),"FP",IF(AND($F147="YES",$N147="NO"),"FN","TN"))))</f>
        <v/>
      </c>
      <c r="R147" s="8" t="n"/>
    </row>
    <row r="148" ht="15" customHeight="1" s="30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6" t="n"/>
      <c r="O148" s="6" t="n"/>
      <c r="P148" s="6" t="n"/>
      <c r="Q148" s="13">
        <f>IF(OR($F148="",$N148=""),"",IF(AND($F148="YES",$N148="YES"),"TP",IF(AND($F148="NO",$N148="YES"),"FP",IF(AND($F148="YES",$N148="NO"),"FN","TN"))))</f>
        <v/>
      </c>
      <c r="R148" s="8" t="n"/>
    </row>
    <row r="149" ht="15" customHeight="1" s="30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6" t="n"/>
      <c r="O149" s="6" t="n"/>
      <c r="P149" s="6" t="n"/>
      <c r="Q149" s="13">
        <f>IF(OR($F149="",$N149=""),"",IF(AND($F149="YES",$N149="YES"),"TP",IF(AND($F149="NO",$N149="YES"),"FP",IF(AND($F149="YES",$N149="NO"),"FN","TN"))))</f>
        <v/>
      </c>
      <c r="R149" s="8" t="n"/>
    </row>
    <row r="150" ht="15" customHeight="1" s="3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6" t="n"/>
      <c r="O150" s="6" t="n"/>
      <c r="P150" s="6" t="n"/>
      <c r="Q150" s="13">
        <f>IF(OR($F150="",$N150=""),"",IF(AND($F150="YES",$N150="YES"),"TP",IF(AND($F150="NO",$N150="YES"),"FP",IF(AND($F150="YES",$N150="NO"),"FN","TN"))))</f>
        <v/>
      </c>
      <c r="R150" s="8" t="n"/>
    </row>
    <row r="151" ht="15" customHeight="1" s="30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6" t="n"/>
      <c r="O151" s="6" t="n"/>
      <c r="P151" s="6" t="n"/>
      <c r="Q151" s="13">
        <f>IF(OR($F151="",$N151=""),"",IF(AND($F151="YES",$N151="YES"),"TP",IF(AND($F151="NO",$N151="YES"),"FP",IF(AND($F151="YES",$N151="NO"),"FN","TN"))))</f>
        <v/>
      </c>
      <c r="R151" s="8" t="n"/>
    </row>
    <row r="152" ht="15" customHeight="1" s="30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6" t="n"/>
      <c r="O152" s="6" t="n"/>
      <c r="P152" s="6" t="n"/>
      <c r="Q152" s="13">
        <f>IF(OR($F152="",$N152=""),"",IF(AND($F152="YES",$N152="YES"),"TP",IF(AND($F152="NO",$N152="YES"),"FP",IF(AND($F152="YES",$N152="NO"),"FN","TN"))))</f>
        <v/>
      </c>
      <c r="R152" s="8" t="n"/>
    </row>
    <row r="153" ht="15" customHeight="1" s="30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6" t="n"/>
      <c r="O153" s="6" t="n"/>
      <c r="P153" s="6" t="n"/>
      <c r="Q153" s="13">
        <f>IF(OR($F153="",$N153=""),"",IF(AND($F153="YES",$N153="YES"),"TP",IF(AND($F153="NO",$N153="YES"),"FP",IF(AND($F153="YES",$N153="NO"),"FN","TN"))))</f>
        <v/>
      </c>
      <c r="R153" s="8" t="n"/>
    </row>
    <row r="154" ht="15" customHeight="1" s="30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6" t="n"/>
      <c r="O154" s="6" t="n"/>
      <c r="P154" s="6" t="n"/>
      <c r="Q154" s="13">
        <f>IF(OR($F154="",$N154=""),"",IF(AND($F154="YES",$N154="YES"),"TP",IF(AND($F154="NO",$N154="YES"),"FP",IF(AND($F154="YES",$N154="NO"),"FN","TN"))))</f>
        <v/>
      </c>
      <c r="R154" s="8" t="n"/>
    </row>
    <row r="155" ht="15" customHeight="1" s="30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6" t="n"/>
      <c r="O155" s="6" t="n"/>
      <c r="P155" s="6" t="n"/>
      <c r="Q155" s="13">
        <f>IF(OR($F155="",$N155=""),"",IF(AND($F155="YES",$N155="YES"),"TP",IF(AND($F155="NO",$N155="YES"),"FP",IF(AND($F155="YES",$N155="NO"),"FN","TN"))))</f>
        <v/>
      </c>
      <c r="R155" s="8" t="n"/>
    </row>
    <row r="156" ht="15" customHeight="1" s="30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6" t="n"/>
      <c r="O156" s="6" t="n"/>
      <c r="P156" s="6" t="n"/>
      <c r="Q156" s="13">
        <f>IF(OR($F156="",$N156=""),"",IF(AND($F156="YES",$N156="YES"),"TP",IF(AND($F156="NO",$N156="YES"),"FP",IF(AND($F156="YES",$N156="NO"),"FN","TN"))))</f>
        <v/>
      </c>
      <c r="R156" s="8" t="n"/>
    </row>
    <row r="157" ht="15" customHeight="1" s="30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6" t="n"/>
      <c r="O157" s="6" t="n"/>
      <c r="P157" s="6" t="n"/>
      <c r="Q157" s="13">
        <f>IF(OR($F157="",$N157=""),"",IF(AND($F157="YES",$N157="YES"),"TP",IF(AND($F157="NO",$N157="YES"),"FP",IF(AND($F157="YES",$N157="NO"),"FN","TN"))))</f>
        <v/>
      </c>
      <c r="R157" s="8" t="n"/>
    </row>
    <row r="158" ht="15" customHeight="1" s="30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6" t="n"/>
      <c r="O158" s="6" t="n"/>
      <c r="P158" s="6" t="n"/>
      <c r="Q158" s="13">
        <f>IF(OR($F158="",$N158=""),"",IF(AND($F158="YES",$N158="YES"),"TP",IF(AND($F158="NO",$N158="YES"),"FP",IF(AND($F158="YES",$N158="NO"),"FN","TN"))))</f>
        <v/>
      </c>
      <c r="R158" s="8" t="n"/>
    </row>
    <row r="159" ht="15" customHeight="1" s="30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6" t="n"/>
      <c r="O159" s="6" t="n"/>
      <c r="P159" s="6" t="n"/>
      <c r="Q159" s="13">
        <f>IF(OR($F159="",$N159=""),"",IF(AND($F159="YES",$N159="YES"),"TP",IF(AND($F159="NO",$N159="YES"),"FP",IF(AND($F159="YES",$N159="NO"),"FN","TN"))))</f>
        <v/>
      </c>
      <c r="R159" s="8" t="n"/>
    </row>
    <row r="160" ht="15" customHeight="1" s="3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6" t="n"/>
      <c r="O160" s="6" t="n"/>
      <c r="P160" s="6" t="n"/>
      <c r="Q160" s="13">
        <f>IF(OR($F160="",$N160=""),"",IF(AND($F160="YES",$N160="YES"),"TP",IF(AND($F160="NO",$N160="YES"),"FP",IF(AND($F160="YES",$N160="NO"),"FN","TN"))))</f>
        <v/>
      </c>
      <c r="R160" s="8" t="n"/>
    </row>
    <row r="161" ht="15" customHeight="1" s="30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6" t="n"/>
      <c r="O161" s="6" t="n"/>
      <c r="P161" s="6" t="n"/>
      <c r="Q161" s="13">
        <f>IF(OR($F161="",$N161=""),"",IF(AND($F161="YES",$N161="YES"),"TP",IF(AND($F161="NO",$N161="YES"),"FP",IF(AND($F161="YES",$N161="NO"),"FN","TN"))))</f>
        <v/>
      </c>
      <c r="R161" s="8" t="n"/>
    </row>
    <row r="162" ht="15" customHeight="1" s="30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6" t="n"/>
      <c r="O162" s="6" t="n"/>
      <c r="P162" s="6" t="n"/>
      <c r="Q162" s="13">
        <f>IF(OR($F162="",$N162=""),"",IF(AND($F162="YES",$N162="YES"),"TP",IF(AND($F162="NO",$N162="YES"),"FP",IF(AND($F162="YES",$N162="NO"),"FN","TN"))))</f>
        <v/>
      </c>
      <c r="R162" s="8" t="n"/>
    </row>
    <row r="163" ht="15" customHeight="1" s="30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6" t="n"/>
      <c r="O163" s="6" t="n"/>
      <c r="P163" s="6" t="n"/>
      <c r="Q163" s="13">
        <f>IF(OR($F163="",$N163=""),"",IF(AND($F163="YES",$N163="YES"),"TP",IF(AND($F163="NO",$N163="YES"),"FP",IF(AND($F163="YES",$N163="NO"),"FN","TN"))))</f>
        <v/>
      </c>
      <c r="R163" s="8" t="n"/>
    </row>
    <row r="164" ht="15" customHeight="1" s="30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6" t="n"/>
      <c r="O164" s="6" t="n"/>
      <c r="P164" s="6" t="n"/>
      <c r="Q164" s="13">
        <f>IF(OR($F164="",$N164=""),"",IF(AND($F164="YES",$N164="YES"),"TP",IF(AND($F164="NO",$N164="YES"),"FP",IF(AND($F164="YES",$N164="NO"),"FN","TN"))))</f>
        <v/>
      </c>
      <c r="R164" s="8" t="n"/>
    </row>
    <row r="165" ht="15" customHeight="1" s="30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6" t="n"/>
      <c r="O165" s="6" t="n"/>
      <c r="P165" s="6" t="n"/>
      <c r="Q165" s="13">
        <f>IF(OR($F165="",$N165=""),"",IF(AND($F165="YES",$N165="YES"),"TP",IF(AND($F165="NO",$N165="YES"),"FP",IF(AND($F165="YES",$N165="NO"),"FN","TN"))))</f>
        <v/>
      </c>
      <c r="R165" s="8" t="n"/>
    </row>
    <row r="166" ht="15" customHeight="1" s="30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6" t="n"/>
      <c r="O166" s="6" t="n"/>
      <c r="P166" s="6" t="n"/>
      <c r="Q166" s="13">
        <f>IF(OR($F166="",$N166=""),"",IF(AND($F166="YES",$N166="YES"),"TP",IF(AND($F166="NO",$N166="YES"),"FP",IF(AND($F166="YES",$N166="NO"),"FN","TN"))))</f>
        <v/>
      </c>
      <c r="R166" s="8" t="n"/>
    </row>
    <row r="167" ht="15" customHeight="1" s="30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6" t="n"/>
      <c r="O167" s="6" t="n"/>
      <c r="P167" s="6" t="n"/>
      <c r="Q167" s="13">
        <f>IF(OR($F167="",$N167=""),"",IF(AND($F167="YES",$N167="YES"),"TP",IF(AND($F167="NO",$N167="YES"),"FP",IF(AND($F167="YES",$N167="NO"),"FN","TN"))))</f>
        <v/>
      </c>
      <c r="R167" s="8" t="n"/>
    </row>
    <row r="168" ht="15" customHeight="1" s="30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6" t="n"/>
      <c r="O168" s="6" t="n"/>
      <c r="P168" s="6" t="n"/>
      <c r="Q168" s="13">
        <f>IF(OR($F168="",$N168=""),"",IF(AND($F168="YES",$N168="YES"),"TP",IF(AND($F168="NO",$N168="YES"),"FP",IF(AND($F168="YES",$N168="NO"),"FN","TN"))))</f>
        <v/>
      </c>
      <c r="R168" s="8" t="n"/>
    </row>
    <row r="169" ht="15" customHeight="1" s="30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6" t="n"/>
      <c r="O169" s="6" t="n"/>
      <c r="P169" s="6" t="n"/>
      <c r="Q169" s="13">
        <f>IF(OR($F169="",$N169=""),"",IF(AND($F169="YES",$N169="YES"),"TP",IF(AND($F169="NO",$N169="YES"),"FP",IF(AND($F169="YES",$N169="NO"),"FN","TN"))))</f>
        <v/>
      </c>
      <c r="R169" s="8" t="n"/>
    </row>
    <row r="170" ht="15" customHeight="1" s="3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6" t="n"/>
      <c r="O170" s="6" t="n"/>
      <c r="P170" s="6" t="n"/>
      <c r="Q170" s="13">
        <f>IF(OR($F170="",$N170=""),"",IF(AND($F170="YES",$N170="YES"),"TP",IF(AND($F170="NO",$N170="YES"),"FP",IF(AND($F170="YES",$N170="NO"),"FN","TN"))))</f>
        <v/>
      </c>
      <c r="R170" s="8" t="n"/>
    </row>
    <row r="171" ht="15" customHeight="1" s="30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6" t="n"/>
      <c r="O171" s="6" t="n"/>
      <c r="P171" s="6" t="n"/>
      <c r="Q171" s="13">
        <f>IF(OR($F171="",$N171=""),"",IF(AND($F171="YES",$N171="YES"),"TP",IF(AND($F171="NO",$N171="YES"),"FP",IF(AND($F171="YES",$N171="NO"),"FN","TN"))))</f>
        <v/>
      </c>
      <c r="R171" s="8" t="n"/>
    </row>
    <row r="172" ht="15" customHeight="1" s="30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6" t="n"/>
      <c r="O172" s="6" t="n"/>
      <c r="P172" s="6" t="n"/>
      <c r="Q172" s="13">
        <f>IF(OR($F172="",$N172=""),"",IF(AND($F172="YES",$N172="YES"),"TP",IF(AND($F172="NO",$N172="YES"),"FP",IF(AND($F172="YES",$N172="NO"),"FN","TN"))))</f>
        <v/>
      </c>
      <c r="R172" s="8" t="n"/>
    </row>
    <row r="173" ht="15" customHeight="1" s="30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6" t="n"/>
      <c r="O173" s="6" t="n"/>
      <c r="P173" s="6" t="n"/>
      <c r="Q173" s="13">
        <f>IF(OR($F173="",$N173=""),"",IF(AND($F173="YES",$N173="YES"),"TP",IF(AND($F173="NO",$N173="YES"),"FP",IF(AND($F173="YES",$N173="NO"),"FN","TN"))))</f>
        <v/>
      </c>
      <c r="R173" s="8" t="n"/>
    </row>
    <row r="174" ht="15" customHeight="1" s="30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6" t="n"/>
      <c r="O174" s="6" t="n"/>
      <c r="P174" s="6" t="n"/>
      <c r="Q174" s="13">
        <f>IF(OR($F174="",$N174=""),"",IF(AND($F174="YES",$N174="YES"),"TP",IF(AND($F174="NO",$N174="YES"),"FP",IF(AND($F174="YES",$N174="NO"),"FN","TN"))))</f>
        <v/>
      </c>
      <c r="R174" s="8" t="n"/>
    </row>
    <row r="175" ht="15" customHeight="1" s="30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6" t="n"/>
      <c r="O175" s="6" t="n"/>
      <c r="P175" s="6" t="n"/>
      <c r="Q175" s="13">
        <f>IF(OR($F175="",$N175=""),"",IF(AND($F175="YES",$N175="YES"),"TP",IF(AND($F175="NO",$N175="YES"),"FP",IF(AND($F175="YES",$N175="NO"),"FN","TN"))))</f>
        <v/>
      </c>
      <c r="R175" s="8" t="n"/>
    </row>
    <row r="176" ht="15" customHeight="1" s="30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6" t="n"/>
      <c r="O176" s="6" t="n"/>
      <c r="P176" s="6" t="n"/>
      <c r="Q176" s="13">
        <f>IF(OR($F176="",$N176=""),"",IF(AND($F176="YES",$N176="YES"),"TP",IF(AND($F176="NO",$N176="YES"),"FP",IF(AND($F176="YES",$N176="NO"),"FN","TN"))))</f>
        <v/>
      </c>
      <c r="R176" s="8" t="n"/>
    </row>
    <row r="177" ht="15" customHeight="1" s="30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6" t="n"/>
      <c r="O177" s="6" t="n"/>
      <c r="P177" s="6" t="n"/>
      <c r="Q177" s="13">
        <f>IF(OR($F177="",$N177=""),"",IF(AND($F177="YES",$N177="YES"),"TP",IF(AND($F177="NO",$N177="YES"),"FP",IF(AND($F177="YES",$N177="NO"),"FN","TN"))))</f>
        <v/>
      </c>
      <c r="R177" s="8" t="n"/>
    </row>
    <row r="178" ht="15" customHeight="1" s="30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6" t="n"/>
      <c r="O178" s="6" t="n"/>
      <c r="P178" s="6" t="n"/>
      <c r="Q178" s="13">
        <f>IF(OR($F178="",$N178=""),"",IF(AND($F178="YES",$N178="YES"),"TP",IF(AND($F178="NO",$N178="YES"),"FP",IF(AND($F178="YES",$N178="NO"),"FN","TN"))))</f>
        <v/>
      </c>
      <c r="R178" s="8" t="n"/>
    </row>
    <row r="179" ht="15" customHeight="1" s="30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6" t="n"/>
      <c r="O179" s="6" t="n"/>
      <c r="P179" s="6" t="n"/>
      <c r="Q179" s="13">
        <f>IF(OR($F179="",$N179=""),"",IF(AND($F179="YES",$N179="YES"),"TP",IF(AND($F179="NO",$N179="YES"),"FP",IF(AND($F179="YES",$N179="NO"),"FN","TN"))))</f>
        <v/>
      </c>
      <c r="R179" s="8" t="n"/>
    </row>
    <row r="180" ht="15" customHeight="1" s="3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6" t="n"/>
      <c r="O180" s="6" t="n"/>
      <c r="P180" s="6" t="n"/>
      <c r="Q180" s="13">
        <f>IF(OR($F180="",$N180=""),"",IF(AND($F180="YES",$N180="YES"),"TP",IF(AND($F180="NO",$N180="YES"),"FP",IF(AND($F180="YES",$N180="NO"),"FN","TN"))))</f>
        <v/>
      </c>
      <c r="R180" s="8" t="n"/>
    </row>
    <row r="181" ht="15" customHeight="1" s="30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6" t="n"/>
      <c r="O181" s="6" t="n"/>
      <c r="P181" s="6" t="n"/>
      <c r="Q181" s="13">
        <f>IF(OR($F181="",$N181=""),"",IF(AND($F181="YES",$N181="YES"),"TP",IF(AND($F181="NO",$N181="YES"),"FP",IF(AND($F181="YES",$N181="NO"),"FN","TN"))))</f>
        <v/>
      </c>
      <c r="R181" s="8" t="n"/>
    </row>
    <row r="182" ht="15" customHeight="1" s="30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6" t="n"/>
      <c r="O182" s="6" t="n"/>
      <c r="P182" s="6" t="n"/>
      <c r="Q182" s="13">
        <f>IF(OR($F182="",$N182=""),"",IF(AND($F182="YES",$N182="YES"),"TP",IF(AND($F182="NO",$N182="YES"),"FP",IF(AND($F182="YES",$N182="NO"),"FN","TN"))))</f>
        <v/>
      </c>
      <c r="R182" s="8" t="n"/>
    </row>
    <row r="183" ht="15" customHeight="1" s="30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6" t="n"/>
      <c r="O183" s="6" t="n"/>
      <c r="P183" s="6" t="n"/>
      <c r="Q183" s="13">
        <f>IF(OR($F183="",$N183=""),"",IF(AND($F183="YES",$N183="YES"),"TP",IF(AND($F183="NO",$N183="YES"),"FP",IF(AND($F183="YES",$N183="NO"),"FN","TN"))))</f>
        <v/>
      </c>
      <c r="R183" s="8" t="n"/>
    </row>
    <row r="184" ht="15" customHeight="1" s="30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6" t="n"/>
      <c r="O184" s="6" t="n"/>
      <c r="P184" s="6" t="n"/>
      <c r="Q184" s="13">
        <f>IF(OR($F184="",$N184=""),"",IF(AND($F184="YES",$N184="YES"),"TP",IF(AND($F184="NO",$N184="YES"),"FP",IF(AND($F184="YES",$N184="NO"),"FN","TN"))))</f>
        <v/>
      </c>
      <c r="R184" s="8" t="n"/>
    </row>
    <row r="185" ht="15" customHeight="1" s="30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6" t="n"/>
      <c r="O185" s="6" t="n"/>
      <c r="P185" s="6" t="n"/>
      <c r="Q185" s="13">
        <f>IF(OR($F185="",$N185=""),"",IF(AND($F185="YES",$N185="YES"),"TP",IF(AND($F185="NO",$N185="YES"),"FP",IF(AND($F185="YES",$N185="NO"),"FN","TN"))))</f>
        <v/>
      </c>
      <c r="R185" s="8" t="n"/>
    </row>
    <row r="186" ht="15" customHeight="1" s="30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6" t="n"/>
      <c r="O186" s="6" t="n"/>
      <c r="P186" s="6" t="n"/>
      <c r="Q186" s="13">
        <f>IF(OR($F186="",$N186=""),"",IF(AND($F186="YES",$N186="YES"),"TP",IF(AND($F186="NO",$N186="YES"),"FP",IF(AND($F186="YES",$N186="NO"),"FN","TN"))))</f>
        <v/>
      </c>
      <c r="R186" s="8" t="n"/>
    </row>
    <row r="187" ht="15" customHeight="1" s="30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6" t="n"/>
      <c r="O187" s="6" t="n"/>
      <c r="P187" s="6" t="n"/>
      <c r="Q187" s="13">
        <f>IF(OR($F187="",$N187=""),"",IF(AND($F187="YES",$N187="YES"),"TP",IF(AND($F187="NO",$N187="YES"),"FP",IF(AND($F187="YES",$N187="NO"),"FN","TN"))))</f>
        <v/>
      </c>
      <c r="R187" s="8" t="n"/>
    </row>
    <row r="188" ht="15" customHeight="1" s="30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6" t="n"/>
      <c r="O188" s="6" t="n"/>
      <c r="P188" s="6" t="n"/>
      <c r="Q188" s="13">
        <f>IF(OR($F188="",$N188=""),"",IF(AND($F188="YES",$N188="YES"),"TP",IF(AND($F188="NO",$N188="YES"),"FP",IF(AND($F188="YES",$N188="NO"),"FN","TN"))))</f>
        <v/>
      </c>
      <c r="R188" s="8" t="n"/>
    </row>
    <row r="189" ht="15" customHeight="1" s="30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6" t="n"/>
      <c r="O189" s="6" t="n"/>
      <c r="P189" s="6" t="n"/>
      <c r="Q189" s="13">
        <f>IF(OR($F189="",$N189=""),"",IF(AND($F189="YES",$N189="YES"),"TP",IF(AND($F189="NO",$N189="YES"),"FP",IF(AND($F189="YES",$N189="NO"),"FN","TN"))))</f>
        <v/>
      </c>
      <c r="R189" s="8" t="n"/>
    </row>
    <row r="190" ht="15" customHeight="1" s="3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6" t="n"/>
      <c r="O190" s="6" t="n"/>
      <c r="P190" s="6" t="n"/>
      <c r="Q190" s="13">
        <f>IF(OR($F190="",$N190=""),"",IF(AND($F190="YES",$N190="YES"),"TP",IF(AND($F190="NO",$N190="YES"),"FP",IF(AND($F190="YES",$N190="NO"),"FN","TN"))))</f>
        <v/>
      </c>
      <c r="R190" s="8" t="n"/>
    </row>
    <row r="191" ht="15" customHeight="1" s="30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6" t="n"/>
      <c r="O191" s="6" t="n"/>
      <c r="P191" s="6" t="n"/>
      <c r="Q191" s="13">
        <f>IF(OR($F191="",$N191=""),"",IF(AND($F191="YES",$N191="YES"),"TP",IF(AND($F191="NO",$N191="YES"),"FP",IF(AND($F191="YES",$N191="NO"),"FN","TN"))))</f>
        <v/>
      </c>
      <c r="R191" s="8" t="n"/>
    </row>
    <row r="192" ht="15" customHeight="1" s="30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6" t="n"/>
      <c r="O192" s="6" t="n"/>
      <c r="P192" s="6" t="n"/>
      <c r="Q192" s="13">
        <f>IF(OR($F192="",$N192=""),"",IF(AND($F192="YES",$N192="YES"),"TP",IF(AND($F192="NO",$N192="YES"),"FP",IF(AND($F192="YES",$N192="NO"),"FN","TN"))))</f>
        <v/>
      </c>
      <c r="R192" s="8" t="n"/>
    </row>
    <row r="193" ht="15" customHeight="1" s="30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6" t="n"/>
      <c r="O193" s="6" t="n"/>
      <c r="P193" s="6" t="n"/>
      <c r="Q193" s="13">
        <f>IF(OR($F193="",$N193=""),"",IF(AND($F193="YES",$N193="YES"),"TP",IF(AND($F193="NO",$N193="YES"),"FP",IF(AND($F193="YES",$N193="NO"),"FN","TN"))))</f>
        <v/>
      </c>
      <c r="R193" s="8" t="n"/>
    </row>
    <row r="194" ht="15" customHeight="1" s="30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6" t="n"/>
      <c r="O194" s="6" t="n"/>
      <c r="P194" s="6" t="n"/>
      <c r="Q194" s="13">
        <f>IF(OR($F194="",$N194=""),"",IF(AND($F194="YES",$N194="YES"),"TP",IF(AND($F194="NO",$N194="YES"),"FP",IF(AND($F194="YES",$N194="NO"),"FN","TN"))))</f>
        <v/>
      </c>
      <c r="R194" s="8" t="n"/>
    </row>
    <row r="195" ht="15" customHeight="1" s="30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6" t="n"/>
      <c r="O195" s="6" t="n"/>
      <c r="P195" s="6" t="n"/>
      <c r="Q195" s="13">
        <f>IF(OR($F195="",$N195=""),"",IF(AND($F195="YES",$N195="YES"),"TP",IF(AND($F195="NO",$N195="YES"),"FP",IF(AND($F195="YES",$N195="NO"),"FN","TN"))))</f>
        <v/>
      </c>
      <c r="R195" s="8" t="n"/>
    </row>
    <row r="196" ht="15" customHeight="1" s="30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6" t="n"/>
      <c r="O196" s="6" t="n"/>
      <c r="P196" s="6" t="n"/>
      <c r="Q196" s="13">
        <f>IF(OR($F196="",$N196=""),"",IF(AND($F196="YES",$N196="YES"),"TP",IF(AND($F196="NO",$N196="YES"),"FP",IF(AND($F196="YES",$N196="NO"),"FN","TN"))))</f>
        <v/>
      </c>
      <c r="R196" s="8" t="n"/>
    </row>
    <row r="197" ht="15" customHeight="1" s="30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6" t="n"/>
      <c r="O197" s="6" t="n"/>
      <c r="P197" s="6" t="n"/>
      <c r="Q197" s="13">
        <f>IF(OR($F197="",$N197=""),"",IF(AND($F197="YES",$N197="YES"),"TP",IF(AND($F197="NO",$N197="YES"),"FP",IF(AND($F197="YES",$N197="NO"),"FN","TN"))))</f>
        <v/>
      </c>
      <c r="R197" s="8" t="n"/>
    </row>
    <row r="198" ht="15" customHeight="1" s="30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6" t="n"/>
      <c r="O198" s="6" t="n"/>
      <c r="P198" s="6" t="n"/>
      <c r="Q198" s="13">
        <f>IF(OR($F198="",$N198=""),"",IF(AND($F198="YES",$N198="YES"),"TP",IF(AND($F198="NO",$N198="YES"),"FP",IF(AND($F198="YES",$N198="NO"),"FN","TN"))))</f>
        <v/>
      </c>
      <c r="R198" s="8" t="n"/>
    </row>
    <row r="199" ht="15" customHeight="1" s="30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6" t="n"/>
      <c r="O199" s="6" t="n"/>
      <c r="P199" s="6" t="n"/>
      <c r="Q199" s="13">
        <f>IF(OR($F199="",$N199=""),"",IF(AND($F199="YES",$N199="YES"),"TP",IF(AND($F199="NO",$N199="YES"),"FP",IF(AND($F199="YES",$N199="NO"),"FN","TN"))))</f>
        <v/>
      </c>
      <c r="R199" s="8" t="n"/>
    </row>
    <row r="200" ht="15" customHeight="1" s="3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6" t="n"/>
      <c r="O200" s="6" t="n"/>
      <c r="P200" s="6" t="n"/>
      <c r="Q200" s="13">
        <f>IF(OR($F200="",$N200=""),"",IF(AND($F200="YES",$N200="YES"),"TP",IF(AND($F200="NO",$N200="YES"),"FP",IF(AND($F200="YES",$N200="NO"),"FN","TN"))))</f>
        <v/>
      </c>
      <c r="R200" s="8" t="n"/>
    </row>
    <row r="201" ht="15.75" customHeight="1" s="30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</row>
    <row r="202" ht="15.75" customHeight="1" s="30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</row>
    <row r="203" ht="15.75" customHeight="1" s="30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</row>
    <row r="204" ht="15.75" customHeight="1" s="30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</row>
    <row r="205" ht="15.75" customHeight="1" s="30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</row>
    <row r="206" ht="15.75" customHeight="1" s="30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</row>
    <row r="207" ht="15.75" customHeight="1" s="30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</row>
    <row r="208" ht="15.75" customHeight="1" s="30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</row>
    <row r="209" ht="15.75" customHeight="1" s="30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</row>
    <row r="210" ht="15.75" customHeight="1" s="3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</row>
    <row r="211" ht="15.75" customHeight="1" s="30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</row>
    <row r="212" ht="15.75" customHeight="1" s="30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</row>
    <row r="213" ht="15.75" customHeight="1" s="30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</row>
    <row r="214" ht="15.75" customHeight="1" s="30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</row>
    <row r="215" ht="15.75" customHeight="1" s="30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</row>
    <row r="216" ht="15.75" customHeight="1" s="30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</row>
    <row r="217" ht="15.75" customHeight="1" s="30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</row>
    <row r="218" ht="15.75" customHeight="1" s="30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</row>
    <row r="219" ht="15.75" customHeight="1" s="30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</row>
    <row r="220" ht="15.75" customHeight="1" s="3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</row>
    <row r="221" ht="15.75" customHeight="1" s="30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</row>
    <row r="222" ht="15.75" customHeight="1" s="30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</row>
    <row r="223" ht="15.75" customHeight="1" s="30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</row>
    <row r="224" ht="15.75" customHeight="1" s="30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</row>
    <row r="225" ht="15.75" customHeight="1" s="30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</row>
    <row r="226" ht="15.75" customHeight="1" s="30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</row>
    <row r="227" ht="15.75" customHeight="1" s="30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</row>
    <row r="228" ht="15.75" customHeight="1" s="30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</row>
    <row r="229" ht="15.75" customHeight="1" s="30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</row>
    <row r="230" ht="15.75" customHeight="1" s="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</row>
    <row r="231" ht="15.75" customHeight="1" s="30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</row>
    <row r="232" ht="15.75" customHeight="1" s="30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</row>
    <row r="233" ht="15.75" customHeight="1" s="30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</row>
    <row r="234" ht="15.75" customHeight="1" s="30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</row>
    <row r="235" ht="15.75" customHeight="1" s="30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</row>
    <row r="236" ht="15.75" customHeight="1" s="30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</row>
    <row r="237" ht="15.75" customHeight="1" s="30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</row>
    <row r="238" ht="15.75" customHeight="1" s="30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</row>
    <row r="239" ht="15.75" customHeight="1" s="30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</row>
    <row r="240" ht="15.75" customHeight="1" s="3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</row>
    <row r="241" ht="15.75" customHeight="1" s="30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</row>
    <row r="242" ht="15.75" customHeight="1" s="30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</row>
    <row r="243" ht="15.75" customHeight="1" s="30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</row>
    <row r="244" ht="15.75" customHeight="1" s="30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</row>
    <row r="245" ht="15.75" customHeight="1" s="30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</row>
    <row r="246" ht="15.75" customHeight="1" s="30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</row>
    <row r="247" ht="15.75" customHeight="1" s="30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</row>
    <row r="248" ht="15.75" customHeight="1" s="30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</row>
    <row r="249" ht="15.75" customHeight="1" s="30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</row>
    <row r="250" ht="15.75" customHeight="1" s="3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</row>
    <row r="251" ht="15.75" customHeight="1" s="30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</row>
    <row r="252" ht="15.75" customHeight="1" s="30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</row>
    <row r="253" ht="15.75" customHeight="1" s="30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</row>
    <row r="254" ht="15.75" customHeight="1" s="30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</row>
    <row r="255" ht="15.75" customHeight="1" s="30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</row>
    <row r="256" ht="15.75" customHeight="1" s="30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</row>
    <row r="257" ht="15.75" customHeight="1" s="30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</row>
    <row r="258" ht="15.75" customHeight="1" s="30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</row>
    <row r="259" ht="15.75" customHeight="1" s="30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</row>
    <row r="260" ht="15.75" customHeight="1" s="3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</row>
    <row r="261" ht="15.75" customHeight="1" s="30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</row>
    <row r="262" ht="15.75" customHeight="1" s="30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</row>
    <row r="263" ht="15.75" customHeight="1" s="30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</row>
    <row r="264" ht="15.75" customHeight="1" s="30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</row>
    <row r="265" ht="15.75" customHeight="1" s="30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</row>
    <row r="266" ht="15.75" customHeight="1" s="30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</row>
    <row r="267" ht="15.75" customHeight="1" s="30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</row>
    <row r="268" ht="15.75" customHeight="1" s="30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</row>
    <row r="269" ht="15.75" customHeight="1" s="30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</row>
    <row r="270" ht="15.75" customHeight="1" s="3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</row>
    <row r="271" ht="15.75" customHeight="1" s="30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</row>
    <row r="272" ht="15.75" customHeight="1" s="30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</row>
    <row r="273" ht="15.75" customHeight="1" s="30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</row>
    <row r="274" ht="15.75" customHeight="1" s="30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</row>
    <row r="275" ht="15.75" customHeight="1" s="30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</row>
    <row r="276" ht="15.75" customHeight="1" s="30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</row>
    <row r="277" ht="15.75" customHeight="1" s="30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</row>
    <row r="278" ht="15.75" customHeight="1" s="30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</row>
    <row r="279" ht="15.75" customHeight="1" s="30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</row>
    <row r="280" ht="15.75" customHeight="1" s="3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</row>
    <row r="281" ht="15.75" customHeight="1" s="30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</row>
    <row r="282" ht="15.75" customHeight="1" s="30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</row>
    <row r="283" ht="15.75" customHeight="1" s="30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</row>
    <row r="284" ht="15.75" customHeight="1" s="30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</row>
    <row r="285" ht="15.75" customHeight="1" s="30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</row>
    <row r="286" ht="15.75" customHeight="1" s="30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</row>
    <row r="287" ht="15.75" customHeight="1" s="30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</row>
    <row r="288" ht="15.75" customHeight="1" s="30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</row>
    <row r="289" ht="15.75" customHeight="1" s="30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</row>
    <row r="290" ht="15.75" customHeight="1" s="3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</row>
    <row r="291" ht="15.75" customHeight="1" s="30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</row>
    <row r="292" ht="15.75" customHeight="1" s="30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</row>
    <row r="293" ht="15.75" customHeight="1" s="30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</row>
    <row r="294" ht="15.75" customHeight="1" s="30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</row>
    <row r="295" ht="15.75" customHeight="1" s="30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</row>
    <row r="296" ht="15.75" customHeight="1" s="30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</row>
    <row r="297" ht="15.75" customHeight="1" s="30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</row>
    <row r="298" ht="15.75" customHeight="1" s="30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</row>
    <row r="299" ht="15.75" customHeight="1" s="30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</row>
    <row r="300" ht="15.75" customHeight="1" s="3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</row>
    <row r="301" ht="15.75" customHeight="1" s="30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</row>
    <row r="302" ht="15.75" customHeight="1" s="30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</row>
    <row r="303" ht="15.75" customHeight="1" s="30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</row>
    <row r="304" ht="15.75" customHeight="1" s="30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</row>
    <row r="305" ht="15.75" customHeight="1" s="30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</row>
    <row r="306" ht="15.75" customHeight="1" s="30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</row>
    <row r="307" ht="15.75" customHeight="1" s="30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</row>
    <row r="308" ht="15.75" customHeight="1" s="30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</row>
    <row r="309" ht="15.75" customHeight="1" s="30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</row>
    <row r="310" ht="15.75" customHeight="1" s="3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</row>
    <row r="311" ht="15.75" customHeight="1" s="30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</row>
    <row r="312" ht="15.75" customHeight="1" s="30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</row>
    <row r="313" ht="15.75" customHeight="1" s="30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</row>
    <row r="314" ht="15.75" customHeight="1" s="30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</row>
    <row r="315" ht="15.75" customHeight="1" s="30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</row>
    <row r="316" ht="15.75" customHeight="1" s="30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</row>
    <row r="317" ht="15.75" customHeight="1" s="30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</row>
    <row r="318" ht="15.75" customHeight="1" s="30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</row>
    <row r="319" ht="15.75" customHeight="1" s="30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</row>
    <row r="320" ht="15.75" customHeight="1" s="3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</row>
    <row r="321" ht="15.75" customHeight="1" s="30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</row>
    <row r="322" ht="15.75" customHeight="1" s="30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</row>
    <row r="323" ht="15.75" customHeight="1" s="30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</row>
    <row r="324" ht="15.75" customHeight="1" s="30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</row>
    <row r="325" ht="15.75" customHeight="1" s="30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</row>
    <row r="326" ht="15.75" customHeight="1" s="30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</row>
    <row r="327" ht="15.75" customHeight="1" s="30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</row>
    <row r="328" ht="15.75" customHeight="1" s="30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</row>
    <row r="329" ht="15.75" customHeight="1" s="30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</row>
    <row r="330" ht="15.75" customHeight="1" s="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</row>
    <row r="331" ht="15.75" customHeight="1" s="30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</row>
    <row r="332" ht="15.75" customHeight="1" s="30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</row>
    <row r="333" ht="15.75" customHeight="1" s="30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</row>
    <row r="334" ht="15.75" customHeight="1" s="30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</row>
    <row r="335" ht="15.75" customHeight="1" s="30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</row>
    <row r="336" ht="15.75" customHeight="1" s="30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</row>
    <row r="337" ht="15.75" customHeight="1" s="30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</row>
    <row r="338" ht="15.75" customHeight="1" s="30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</row>
    <row r="339" ht="15.75" customHeight="1" s="30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</row>
    <row r="340" ht="15.75" customHeight="1" s="3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</row>
    <row r="341" ht="15.75" customHeight="1" s="30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</row>
    <row r="342" ht="15.75" customHeight="1" s="30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</row>
    <row r="343" ht="15.75" customHeight="1" s="30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</row>
    <row r="344" ht="15.75" customHeight="1" s="30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</row>
    <row r="345" ht="15.75" customHeight="1" s="30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</row>
    <row r="346" ht="15.75" customHeight="1" s="30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</row>
    <row r="347" ht="15.75" customHeight="1" s="30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</row>
    <row r="348" ht="15.75" customHeight="1" s="30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</row>
    <row r="349" ht="15.75" customHeight="1" s="30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</row>
    <row r="350" ht="15.75" customHeight="1" s="3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</row>
    <row r="351" ht="15.75" customHeight="1" s="30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</row>
    <row r="352" ht="15.75" customHeight="1" s="30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</row>
    <row r="353" ht="15.75" customHeight="1" s="30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</row>
    <row r="354" ht="15.75" customHeight="1" s="30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</row>
    <row r="355" ht="15.75" customHeight="1" s="30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</row>
    <row r="356" ht="15.75" customHeight="1" s="30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</row>
    <row r="357" ht="15.75" customHeight="1" s="30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</row>
    <row r="358" ht="15.75" customHeight="1" s="30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</row>
    <row r="359" ht="15.75" customHeight="1" s="30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</row>
    <row r="360" ht="15.75" customHeight="1" s="3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</row>
    <row r="361" ht="15.75" customHeight="1" s="30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</row>
    <row r="362" ht="15.75" customHeight="1" s="30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</row>
    <row r="363" ht="15.75" customHeight="1" s="30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</row>
    <row r="364" ht="15.75" customHeight="1" s="30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</row>
    <row r="365" ht="15.75" customHeight="1" s="30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</row>
    <row r="366" ht="15.75" customHeight="1" s="30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</row>
    <row r="367" ht="15.75" customHeight="1" s="30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</row>
    <row r="368" ht="15.75" customHeight="1" s="30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</row>
    <row r="369" ht="15.75" customHeight="1" s="30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</row>
    <row r="370" ht="15.75" customHeight="1" s="3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</row>
    <row r="371" ht="15.75" customHeight="1" s="30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</row>
    <row r="372" ht="15.75" customHeight="1" s="30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</row>
    <row r="373" ht="15.75" customHeight="1" s="30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</row>
    <row r="374" ht="15.75" customHeight="1" s="30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</row>
    <row r="375" ht="15.75" customHeight="1" s="30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</row>
    <row r="376" ht="15.75" customHeight="1" s="30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</row>
    <row r="377" ht="15.75" customHeight="1" s="30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</row>
    <row r="378" ht="15.75" customHeight="1" s="30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</row>
    <row r="379" ht="15.75" customHeight="1" s="30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</row>
    <row r="380" ht="15.75" customHeight="1" s="3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</row>
    <row r="381" ht="15.75" customHeight="1" s="30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</row>
    <row r="382" ht="15.75" customHeight="1" s="30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</row>
    <row r="383" ht="15.75" customHeight="1" s="30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</row>
    <row r="384" ht="15.75" customHeight="1" s="30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</row>
    <row r="385" ht="15.75" customHeight="1" s="30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</row>
    <row r="386" ht="15.75" customHeight="1" s="30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</row>
    <row r="387" ht="15.75" customHeight="1" s="30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</row>
    <row r="388" ht="15.75" customHeight="1" s="30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</row>
    <row r="389" ht="15.75" customHeight="1" s="30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</row>
    <row r="390" ht="15.75" customHeight="1" s="3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</row>
    <row r="391" ht="15.75" customHeight="1" s="30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</row>
    <row r="392" ht="15.75" customHeight="1" s="30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</row>
    <row r="393" ht="15.75" customHeight="1" s="30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</row>
    <row r="394" ht="15.75" customHeight="1" s="30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</row>
    <row r="395" ht="15.75" customHeight="1" s="30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</row>
    <row r="396" ht="15.75" customHeight="1" s="30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</row>
    <row r="397" ht="15.75" customHeight="1" s="30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</row>
    <row r="398" ht="15.75" customHeight="1" s="30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</row>
    <row r="399" ht="15.75" customHeight="1" s="30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</row>
    <row r="400" ht="15.75" customHeight="1" s="3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</row>
    <row r="401" ht="15.75" customHeight="1" s="30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</row>
    <row r="402" ht="15.75" customHeight="1" s="30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</row>
    <row r="403" ht="15.75" customHeight="1" s="30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</row>
    <row r="404" ht="15.75" customHeight="1" s="30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</row>
    <row r="405" ht="15.75" customHeight="1" s="30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</row>
    <row r="406" ht="15.75" customHeight="1" s="30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</row>
    <row r="407" ht="15.75" customHeight="1" s="30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</row>
    <row r="408" ht="15.75" customHeight="1" s="30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</row>
    <row r="409" ht="15.75" customHeight="1" s="30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</row>
    <row r="410" ht="15.75" customHeight="1" s="3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</row>
    <row r="411" ht="15.75" customHeight="1" s="30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</row>
    <row r="412" ht="15.75" customHeight="1" s="30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</row>
    <row r="413" ht="15.75" customHeight="1" s="30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</row>
    <row r="414" ht="15.75" customHeight="1" s="30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</row>
    <row r="415" ht="15.75" customHeight="1" s="30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</row>
    <row r="416" ht="15.75" customHeight="1" s="30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</row>
    <row r="417" ht="15.75" customHeight="1" s="30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</row>
    <row r="418" ht="15.75" customHeight="1" s="30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</row>
    <row r="419" ht="15.75" customHeight="1" s="30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</row>
    <row r="420" ht="15.75" customHeight="1" s="3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</row>
    <row r="421" ht="15.75" customHeight="1" s="30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</row>
    <row r="422" ht="15.75" customHeight="1" s="30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</row>
    <row r="423" ht="15.75" customHeight="1" s="30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</row>
    <row r="424" ht="15.75" customHeight="1" s="30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</row>
    <row r="425" ht="15.75" customHeight="1" s="30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</row>
    <row r="426" ht="15.75" customHeight="1" s="30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</row>
    <row r="427" ht="15.75" customHeight="1" s="30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</row>
    <row r="428" ht="15.75" customHeight="1" s="30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</row>
    <row r="429" ht="15.75" customHeight="1" s="30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</row>
    <row r="430" ht="15.75" customHeight="1" s="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</row>
    <row r="431" ht="15.75" customHeight="1" s="30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</row>
    <row r="432" ht="15.75" customHeight="1" s="30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</row>
    <row r="433" ht="15.75" customHeight="1" s="30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</row>
    <row r="434" ht="15.75" customHeight="1" s="30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</row>
    <row r="435" ht="15.75" customHeight="1" s="30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</row>
    <row r="436" ht="15.75" customHeight="1" s="30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</row>
    <row r="437" ht="15.75" customHeight="1" s="30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</row>
    <row r="438" ht="15.75" customHeight="1" s="30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</row>
    <row r="439" ht="15.75" customHeight="1" s="30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</row>
    <row r="440" ht="15.75" customHeight="1" s="3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</row>
    <row r="441" ht="15.75" customHeight="1" s="30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</row>
    <row r="442" ht="15.75" customHeight="1" s="30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</row>
    <row r="443" ht="15.75" customHeight="1" s="30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</row>
    <row r="444" ht="15.75" customHeight="1" s="30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</row>
    <row r="445" ht="15.75" customHeight="1" s="30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</row>
    <row r="446" ht="15.75" customHeight="1" s="30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</row>
    <row r="447" ht="15.75" customHeight="1" s="30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</row>
    <row r="448" ht="15.75" customHeight="1" s="30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</row>
    <row r="449" ht="15.75" customHeight="1" s="30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</row>
    <row r="450" ht="15.75" customHeight="1" s="3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</row>
    <row r="451" ht="15.75" customHeight="1" s="30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</row>
    <row r="452" ht="15.75" customHeight="1" s="30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</row>
    <row r="453" ht="15.75" customHeight="1" s="30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</row>
    <row r="454" ht="15.75" customHeight="1" s="30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</row>
    <row r="455" ht="15.75" customHeight="1" s="30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</row>
    <row r="456" ht="15.75" customHeight="1" s="30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</row>
    <row r="457" ht="15.75" customHeight="1" s="30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</row>
    <row r="458" ht="15.75" customHeight="1" s="30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</row>
    <row r="459" ht="15.75" customHeight="1" s="30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</row>
    <row r="460" ht="15.75" customHeight="1" s="3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</row>
    <row r="461" ht="15.75" customHeight="1" s="30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</row>
    <row r="462" ht="15.75" customHeight="1" s="30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</row>
    <row r="463" ht="15.75" customHeight="1" s="30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</row>
    <row r="464" ht="15.75" customHeight="1" s="30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</row>
    <row r="465" ht="15.75" customHeight="1" s="30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</row>
    <row r="466" ht="15.75" customHeight="1" s="30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</row>
    <row r="467" ht="15.75" customHeight="1" s="30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</row>
    <row r="468" ht="15.75" customHeight="1" s="30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</row>
    <row r="469" ht="15.75" customHeight="1" s="30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</row>
    <row r="470" ht="15.75" customHeight="1" s="3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</row>
    <row r="471" ht="15.75" customHeight="1" s="30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</row>
    <row r="472" ht="15.75" customHeight="1" s="30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</row>
    <row r="473" ht="15.75" customHeight="1" s="30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</row>
    <row r="474" ht="15.75" customHeight="1" s="30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</row>
    <row r="475" ht="15.75" customHeight="1" s="30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</row>
    <row r="476" ht="15.75" customHeight="1" s="30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</row>
    <row r="477" ht="15.75" customHeight="1" s="30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</row>
    <row r="478" ht="15.75" customHeight="1" s="30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</row>
    <row r="479" ht="15.75" customHeight="1" s="30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</row>
    <row r="480" ht="15.75" customHeight="1" s="3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</row>
    <row r="481" ht="15.75" customHeight="1" s="30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</row>
    <row r="482" ht="15.75" customHeight="1" s="30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</row>
    <row r="483" ht="15.75" customHeight="1" s="30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</row>
    <row r="484" ht="15.75" customHeight="1" s="30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</row>
    <row r="485" ht="15.75" customHeight="1" s="30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</row>
    <row r="486" ht="15.75" customHeight="1" s="30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</row>
    <row r="487" ht="15.75" customHeight="1" s="30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</row>
    <row r="488" ht="15.75" customHeight="1" s="30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</row>
    <row r="489" ht="15.75" customHeight="1" s="30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</row>
    <row r="490" ht="15.75" customHeight="1" s="3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</row>
    <row r="491" ht="15.75" customHeight="1" s="30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</row>
    <row r="492" ht="15.75" customHeight="1" s="30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</row>
    <row r="493" ht="15.75" customHeight="1" s="30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</row>
    <row r="494" ht="15.75" customHeight="1" s="30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</row>
    <row r="495" ht="15.75" customHeight="1" s="30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</row>
    <row r="496" ht="15.75" customHeight="1" s="30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</row>
    <row r="497" ht="15.75" customHeight="1" s="30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</row>
    <row r="498" ht="15.75" customHeight="1" s="30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</row>
    <row r="499" ht="15.75" customHeight="1" s="30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</row>
    <row r="500" ht="15.75" customHeight="1" s="3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</row>
    <row r="501" ht="15.75" customHeight="1" s="30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</row>
    <row r="502" ht="15.75" customHeight="1" s="30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</row>
    <row r="503" ht="15.75" customHeight="1" s="30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</row>
    <row r="504" ht="15.75" customHeight="1" s="30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</row>
    <row r="505" ht="15.75" customHeight="1" s="30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</row>
    <row r="506" ht="15.75" customHeight="1" s="30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</row>
    <row r="507" ht="15.75" customHeight="1" s="30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</row>
    <row r="508" ht="15.75" customHeight="1" s="30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</row>
    <row r="509" ht="15.75" customHeight="1" s="30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</row>
    <row r="510" ht="15.75" customHeight="1" s="3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</row>
    <row r="511" ht="15.75" customHeight="1" s="30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</row>
    <row r="512" ht="15.75" customHeight="1" s="30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</row>
    <row r="513" ht="15.75" customHeight="1" s="30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</row>
    <row r="514" ht="15.75" customHeight="1" s="30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</row>
    <row r="515" ht="15.75" customHeight="1" s="30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</row>
    <row r="516" ht="15.75" customHeight="1" s="30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</row>
    <row r="517" ht="15.75" customHeight="1" s="30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</row>
    <row r="518" ht="15.75" customHeight="1" s="30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</row>
    <row r="519" ht="15.75" customHeight="1" s="30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</row>
    <row r="520" ht="15.75" customHeight="1" s="3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</row>
    <row r="521" ht="15.75" customHeight="1" s="30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</row>
    <row r="522" ht="15.75" customHeight="1" s="30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</row>
    <row r="523" ht="15.75" customHeight="1" s="30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</row>
    <row r="524" ht="15.75" customHeight="1" s="30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</row>
    <row r="525" ht="15.75" customHeight="1" s="30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</row>
    <row r="526" ht="15.75" customHeight="1" s="30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</row>
    <row r="527" ht="15.75" customHeight="1" s="30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</row>
    <row r="528" ht="15.75" customHeight="1" s="30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</row>
    <row r="529" ht="15.75" customHeight="1" s="30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</row>
    <row r="530" ht="15.75" customHeight="1" s="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</row>
    <row r="531" ht="15.75" customHeight="1" s="30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</row>
    <row r="532" ht="15.75" customHeight="1" s="30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</row>
    <row r="533" ht="15.75" customHeight="1" s="30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</row>
    <row r="534" ht="15.75" customHeight="1" s="30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</row>
    <row r="535" ht="15.75" customHeight="1" s="30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</row>
    <row r="536" ht="15.75" customHeight="1" s="30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</row>
    <row r="537" ht="15.75" customHeight="1" s="30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</row>
    <row r="538" ht="15.75" customHeight="1" s="30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</row>
    <row r="539" ht="15.75" customHeight="1" s="30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</row>
    <row r="540" ht="15.75" customHeight="1" s="3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</row>
    <row r="541" ht="15.75" customHeight="1" s="30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</row>
    <row r="542" ht="15.75" customHeight="1" s="30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</row>
    <row r="543" ht="15.75" customHeight="1" s="30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</row>
    <row r="544" ht="15.75" customHeight="1" s="30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</row>
    <row r="545" ht="15.75" customHeight="1" s="30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</row>
    <row r="546" ht="15.75" customHeight="1" s="30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</row>
    <row r="547" ht="15.75" customHeight="1" s="30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</row>
    <row r="548" ht="15.75" customHeight="1" s="30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</row>
    <row r="549" ht="15.75" customHeight="1" s="30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</row>
    <row r="550" ht="15.75" customHeight="1" s="3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</row>
    <row r="551" ht="15.75" customHeight="1" s="30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</row>
    <row r="552" ht="15.75" customHeight="1" s="30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</row>
    <row r="553" ht="15.75" customHeight="1" s="30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</row>
    <row r="554" ht="15.75" customHeight="1" s="30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</row>
    <row r="555" ht="15.75" customHeight="1" s="30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</row>
    <row r="556" ht="15.75" customHeight="1" s="30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</row>
    <row r="557" ht="15.75" customHeight="1" s="30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</row>
    <row r="558" ht="15.75" customHeight="1" s="30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</row>
    <row r="559" ht="15.75" customHeight="1" s="30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</row>
    <row r="560" ht="15.75" customHeight="1" s="3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</row>
    <row r="561" ht="15.75" customHeight="1" s="30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</row>
    <row r="562" ht="15.75" customHeight="1" s="30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</row>
    <row r="563" ht="15.75" customHeight="1" s="30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</row>
    <row r="564" ht="15.75" customHeight="1" s="30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</row>
    <row r="565" ht="15.75" customHeight="1" s="30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</row>
    <row r="566" ht="15.75" customHeight="1" s="30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</row>
    <row r="567" ht="15.75" customHeight="1" s="30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</row>
    <row r="568" ht="15.75" customHeight="1" s="30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</row>
    <row r="569" ht="15.75" customHeight="1" s="30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</row>
    <row r="570" ht="15.75" customHeight="1" s="3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</row>
    <row r="571" ht="15.75" customHeight="1" s="30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</row>
    <row r="572" ht="15.75" customHeight="1" s="30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</row>
    <row r="573" ht="15.75" customHeight="1" s="30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</row>
    <row r="574" ht="15.75" customHeight="1" s="30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</row>
    <row r="575" ht="15.75" customHeight="1" s="30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</row>
    <row r="576" ht="15.75" customHeight="1" s="30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</row>
    <row r="577" ht="15.75" customHeight="1" s="30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</row>
    <row r="578" ht="15.75" customHeight="1" s="30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</row>
    <row r="579" ht="15.75" customHeight="1" s="30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</row>
    <row r="580" ht="15.75" customHeight="1" s="3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</row>
    <row r="581" ht="15.75" customHeight="1" s="30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</row>
    <row r="582" ht="15.75" customHeight="1" s="30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</row>
    <row r="583" ht="15.75" customHeight="1" s="30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</row>
    <row r="584" ht="15.75" customHeight="1" s="30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</row>
    <row r="585" ht="15.75" customHeight="1" s="30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</row>
    <row r="586" ht="15.75" customHeight="1" s="30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</row>
    <row r="587" ht="15.75" customHeight="1" s="30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</row>
    <row r="588" ht="15.75" customHeight="1" s="30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</row>
    <row r="589" ht="15.75" customHeight="1" s="30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</row>
    <row r="590" ht="15.75" customHeight="1" s="3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</row>
    <row r="591" ht="15.75" customHeight="1" s="30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</row>
    <row r="592" ht="15.75" customHeight="1" s="30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</row>
    <row r="593" ht="15.75" customHeight="1" s="30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</row>
    <row r="594" ht="15.75" customHeight="1" s="30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</row>
    <row r="595" ht="15.75" customHeight="1" s="30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</row>
    <row r="596" ht="15.75" customHeight="1" s="30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</row>
    <row r="597" ht="15.75" customHeight="1" s="30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</row>
    <row r="598" ht="15.75" customHeight="1" s="30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</row>
    <row r="599" ht="15.75" customHeight="1" s="30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</row>
    <row r="600" ht="15.75" customHeight="1" s="3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</row>
    <row r="601" ht="15.75" customHeight="1" s="30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</row>
    <row r="602" ht="15.75" customHeight="1" s="30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</row>
    <row r="603" ht="15.75" customHeight="1" s="30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</row>
    <row r="604" ht="15.75" customHeight="1" s="30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</row>
    <row r="605" ht="15.75" customHeight="1" s="30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</row>
    <row r="606" ht="15.75" customHeight="1" s="30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</row>
    <row r="607" ht="15.75" customHeight="1" s="30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</row>
    <row r="608" ht="15.75" customHeight="1" s="30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</row>
    <row r="609" ht="15.75" customHeight="1" s="30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</row>
    <row r="610" ht="15.75" customHeight="1" s="3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</row>
    <row r="611" ht="15.75" customHeight="1" s="30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</row>
    <row r="612" ht="15.75" customHeight="1" s="30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</row>
    <row r="613" ht="15.75" customHeight="1" s="30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</row>
    <row r="614" ht="15.75" customHeight="1" s="30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</row>
    <row r="615" ht="15.75" customHeight="1" s="30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</row>
    <row r="616" ht="15.75" customHeight="1" s="30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</row>
    <row r="617" ht="15.75" customHeight="1" s="30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</row>
    <row r="618" ht="15.75" customHeight="1" s="30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</row>
    <row r="619" ht="15.75" customHeight="1" s="30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</row>
    <row r="620" ht="15.75" customHeight="1" s="3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</row>
    <row r="621" ht="15.75" customHeight="1" s="30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</row>
    <row r="622" ht="15.75" customHeight="1" s="30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</row>
    <row r="623" ht="15.75" customHeight="1" s="30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</row>
    <row r="624" ht="15.75" customHeight="1" s="30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</row>
    <row r="625" ht="15.75" customHeight="1" s="30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</row>
    <row r="626" ht="15.75" customHeight="1" s="30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</row>
    <row r="627" ht="15.75" customHeight="1" s="30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</row>
    <row r="628" ht="15.75" customHeight="1" s="30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</row>
    <row r="629" ht="15.75" customHeight="1" s="30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</row>
    <row r="630" ht="15.75" customHeight="1" s="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</row>
    <row r="631" ht="15.75" customHeight="1" s="30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</row>
    <row r="632" ht="15.75" customHeight="1" s="30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</row>
    <row r="633" ht="15.75" customHeight="1" s="30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</row>
    <row r="634" ht="15.75" customHeight="1" s="30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</row>
    <row r="635" ht="15.75" customHeight="1" s="30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</row>
    <row r="636" ht="15.75" customHeight="1" s="30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</row>
    <row r="637" ht="15.75" customHeight="1" s="30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</row>
    <row r="638" ht="15.75" customHeight="1" s="30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</row>
    <row r="639" ht="15.75" customHeight="1" s="30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</row>
    <row r="640" ht="15.75" customHeight="1" s="3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</row>
    <row r="641" ht="15.75" customHeight="1" s="30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</row>
    <row r="642" ht="15.75" customHeight="1" s="30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</row>
    <row r="643" ht="15.75" customHeight="1" s="30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</row>
    <row r="644" ht="15.75" customHeight="1" s="30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</row>
    <row r="645" ht="15.75" customHeight="1" s="30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</row>
    <row r="646" ht="15.75" customHeight="1" s="30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</row>
    <row r="647" ht="15.75" customHeight="1" s="30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</row>
    <row r="648" ht="15.75" customHeight="1" s="30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</row>
    <row r="649" ht="15.75" customHeight="1" s="30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</row>
    <row r="650" ht="15.75" customHeight="1" s="3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</row>
    <row r="651" ht="15.75" customHeight="1" s="30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</row>
    <row r="652" ht="15.75" customHeight="1" s="30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</row>
    <row r="653" ht="15.75" customHeight="1" s="30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</row>
    <row r="654" ht="15.75" customHeight="1" s="30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</row>
    <row r="655" ht="15.75" customHeight="1" s="30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</row>
    <row r="656" ht="15.75" customHeight="1" s="30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</row>
    <row r="657" ht="15.75" customHeight="1" s="30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</row>
    <row r="658" ht="15.75" customHeight="1" s="30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</row>
    <row r="659" ht="15.75" customHeight="1" s="30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</row>
    <row r="660" ht="15.75" customHeight="1" s="3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</row>
    <row r="661" ht="15.75" customHeight="1" s="30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</row>
    <row r="662" ht="15.75" customHeight="1" s="30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</row>
    <row r="663" ht="15.75" customHeight="1" s="30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</row>
    <row r="664" ht="15.75" customHeight="1" s="30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</row>
    <row r="665" ht="15.75" customHeight="1" s="30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</row>
    <row r="666" ht="15.75" customHeight="1" s="30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</row>
    <row r="667" ht="15.75" customHeight="1" s="30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</row>
    <row r="668" ht="15.75" customHeight="1" s="30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</row>
    <row r="669" ht="15.75" customHeight="1" s="30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</row>
    <row r="670" ht="15.75" customHeight="1" s="3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</row>
    <row r="671" ht="15.75" customHeight="1" s="30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</row>
    <row r="672" ht="15.75" customHeight="1" s="30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</row>
    <row r="673" ht="15.75" customHeight="1" s="30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</row>
    <row r="674" ht="15.75" customHeight="1" s="30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</row>
    <row r="675" ht="15.75" customHeight="1" s="30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</row>
    <row r="676" ht="15.75" customHeight="1" s="30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</row>
    <row r="677" ht="15.75" customHeight="1" s="30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</row>
    <row r="678" ht="15.75" customHeight="1" s="30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</row>
    <row r="679" ht="15.75" customHeight="1" s="30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</row>
    <row r="680" ht="15.75" customHeight="1" s="3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</row>
    <row r="681" ht="15.75" customHeight="1" s="30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</row>
    <row r="682" ht="15.75" customHeight="1" s="30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</row>
    <row r="683" ht="15.75" customHeight="1" s="30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</row>
    <row r="684" ht="15.75" customHeight="1" s="30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</row>
    <row r="685" ht="15.75" customHeight="1" s="30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</row>
    <row r="686" ht="15.75" customHeight="1" s="30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</row>
    <row r="687" ht="15.75" customHeight="1" s="30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</row>
    <row r="688" ht="15.75" customHeight="1" s="30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</row>
    <row r="689" ht="15.75" customHeight="1" s="30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</row>
    <row r="690" ht="15.75" customHeight="1" s="3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</row>
    <row r="691" ht="15.75" customHeight="1" s="30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</row>
    <row r="692" ht="15.75" customHeight="1" s="30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</row>
    <row r="693" ht="15.75" customHeight="1" s="30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</row>
    <row r="694" ht="15.75" customHeight="1" s="30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</row>
    <row r="695" ht="15.75" customHeight="1" s="30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</row>
    <row r="696" ht="15.75" customHeight="1" s="30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</row>
    <row r="697" ht="15.75" customHeight="1" s="30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</row>
    <row r="698" ht="15.75" customHeight="1" s="30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</row>
    <row r="699" ht="15.75" customHeight="1" s="30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</row>
    <row r="700" ht="15.75" customHeight="1" s="3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</row>
    <row r="701" ht="15.75" customHeight="1" s="30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</row>
    <row r="702" ht="15.75" customHeight="1" s="30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</row>
    <row r="703" ht="15.75" customHeight="1" s="30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</row>
    <row r="704" ht="15.75" customHeight="1" s="30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</row>
    <row r="705" ht="15.75" customHeight="1" s="30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</row>
    <row r="706" ht="15.75" customHeight="1" s="30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</row>
    <row r="707" ht="15.75" customHeight="1" s="30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</row>
    <row r="708" ht="15.75" customHeight="1" s="30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</row>
    <row r="709" ht="15.75" customHeight="1" s="30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</row>
    <row r="710" ht="15.75" customHeight="1" s="3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</row>
    <row r="711" ht="15.75" customHeight="1" s="30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</row>
    <row r="712" ht="15.75" customHeight="1" s="30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</row>
    <row r="713" ht="15.75" customHeight="1" s="30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</row>
    <row r="714" ht="15.75" customHeight="1" s="30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</row>
    <row r="715" ht="15.75" customHeight="1" s="30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</row>
    <row r="716" ht="15.75" customHeight="1" s="30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</row>
    <row r="717" ht="15.75" customHeight="1" s="30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</row>
    <row r="718" ht="15.75" customHeight="1" s="30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</row>
    <row r="719" ht="15.75" customHeight="1" s="30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</row>
    <row r="720" ht="15.75" customHeight="1" s="3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</row>
    <row r="721" ht="15.75" customHeight="1" s="30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</row>
    <row r="722" ht="15.75" customHeight="1" s="30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</row>
    <row r="723" ht="15.75" customHeight="1" s="30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</row>
    <row r="724" ht="15.75" customHeight="1" s="30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</row>
    <row r="725" ht="15.75" customHeight="1" s="30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</row>
    <row r="726" ht="15.75" customHeight="1" s="30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</row>
    <row r="727" ht="15.75" customHeight="1" s="30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</row>
    <row r="728" ht="15.75" customHeight="1" s="30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</row>
    <row r="729" ht="15.75" customHeight="1" s="30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</row>
    <row r="730" ht="15.75" customHeight="1" s="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</row>
    <row r="731" ht="15.75" customHeight="1" s="30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</row>
    <row r="732" ht="15.75" customHeight="1" s="30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</row>
    <row r="733" ht="15.75" customHeight="1" s="30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</row>
    <row r="734" ht="15.75" customHeight="1" s="30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</row>
    <row r="735" ht="15.75" customHeight="1" s="30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</row>
    <row r="736" ht="15.75" customHeight="1" s="30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</row>
    <row r="737" ht="15.75" customHeight="1" s="30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</row>
    <row r="738" ht="15.75" customHeight="1" s="30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</row>
    <row r="739" ht="15.75" customHeight="1" s="30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</row>
    <row r="740" ht="15.75" customHeight="1" s="3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</row>
    <row r="741" ht="15.75" customHeight="1" s="30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</row>
    <row r="742" ht="15.75" customHeight="1" s="30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</row>
    <row r="743" ht="15.75" customHeight="1" s="30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</row>
    <row r="744" ht="15.75" customHeight="1" s="30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</row>
    <row r="745" ht="15.75" customHeight="1" s="30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</row>
    <row r="746" ht="15.75" customHeight="1" s="30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</row>
    <row r="747" ht="15.75" customHeight="1" s="30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</row>
    <row r="748" ht="15.75" customHeight="1" s="30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</row>
    <row r="749" ht="15.75" customHeight="1" s="30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</row>
    <row r="750" ht="15.75" customHeight="1" s="3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</row>
    <row r="751" ht="15.75" customHeight="1" s="30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</row>
    <row r="752" ht="15.75" customHeight="1" s="30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</row>
    <row r="753" ht="15.75" customHeight="1" s="30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</row>
    <row r="754" ht="15.75" customHeight="1" s="30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</row>
    <row r="755" ht="15.75" customHeight="1" s="30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</row>
    <row r="756" ht="15.75" customHeight="1" s="30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</row>
    <row r="757" ht="15.75" customHeight="1" s="30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</row>
    <row r="758" ht="15.75" customHeight="1" s="30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</row>
    <row r="759" ht="15.75" customHeight="1" s="30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</row>
    <row r="760" ht="15.75" customHeight="1" s="3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</row>
    <row r="761" ht="15.75" customHeight="1" s="30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</row>
    <row r="762" ht="15.75" customHeight="1" s="30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</row>
    <row r="763" ht="15.75" customHeight="1" s="30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</row>
    <row r="764" ht="15.75" customHeight="1" s="30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</row>
    <row r="765" ht="15.75" customHeight="1" s="30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</row>
    <row r="766" ht="15.75" customHeight="1" s="30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</row>
    <row r="767" ht="15.75" customHeight="1" s="30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</row>
    <row r="768" ht="15.75" customHeight="1" s="30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</row>
    <row r="769" ht="15.75" customHeight="1" s="30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</row>
    <row r="770" ht="15.75" customHeight="1" s="3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</row>
    <row r="771" ht="15.75" customHeight="1" s="30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</row>
    <row r="772" ht="15.75" customHeight="1" s="30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</row>
    <row r="773" ht="15.75" customHeight="1" s="30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</row>
    <row r="774" ht="15.75" customHeight="1" s="30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</row>
    <row r="775" ht="15.75" customHeight="1" s="30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</row>
    <row r="776" ht="15.75" customHeight="1" s="30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</row>
    <row r="777" ht="15.75" customHeight="1" s="30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</row>
    <row r="778" ht="15.75" customHeight="1" s="30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</row>
    <row r="779" ht="15.75" customHeight="1" s="30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</row>
    <row r="780" ht="15.75" customHeight="1" s="3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</row>
    <row r="781" ht="15.75" customHeight="1" s="30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</row>
    <row r="782" ht="15.75" customHeight="1" s="30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</row>
    <row r="783" ht="15.75" customHeight="1" s="30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</row>
    <row r="784" ht="15.75" customHeight="1" s="30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</row>
    <row r="785" ht="15.75" customHeight="1" s="30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</row>
    <row r="786" ht="15.75" customHeight="1" s="30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</row>
    <row r="787" ht="15.75" customHeight="1" s="30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</row>
    <row r="788" ht="15.75" customHeight="1" s="30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</row>
    <row r="789" ht="15.75" customHeight="1" s="30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</row>
    <row r="790" ht="15.75" customHeight="1" s="3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</row>
    <row r="791" ht="15.75" customHeight="1" s="30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</row>
    <row r="792" ht="15.75" customHeight="1" s="30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</row>
    <row r="793" ht="15.75" customHeight="1" s="30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</row>
    <row r="794" ht="15.75" customHeight="1" s="30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</row>
    <row r="795" ht="15.75" customHeight="1" s="30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</row>
    <row r="796" ht="15.75" customHeight="1" s="30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</row>
    <row r="797" ht="15.75" customHeight="1" s="30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</row>
    <row r="798" ht="15.75" customHeight="1" s="30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</row>
    <row r="799" ht="15.75" customHeight="1" s="30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</row>
    <row r="800" ht="15.75" customHeight="1" s="3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</row>
    <row r="801" ht="15.75" customHeight="1" s="30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</row>
    <row r="802" ht="15.75" customHeight="1" s="30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</row>
    <row r="803" ht="15.75" customHeight="1" s="30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</row>
    <row r="804" ht="15.75" customHeight="1" s="30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</row>
    <row r="805" ht="15.75" customHeight="1" s="30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</row>
    <row r="806" ht="15.75" customHeight="1" s="30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</row>
    <row r="807" ht="15.75" customHeight="1" s="30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</row>
    <row r="808" ht="15.75" customHeight="1" s="30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</row>
    <row r="809" ht="15.75" customHeight="1" s="30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</row>
    <row r="810" ht="15.75" customHeight="1" s="3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</row>
    <row r="811" ht="15.75" customHeight="1" s="30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</row>
    <row r="812" ht="15.75" customHeight="1" s="30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</row>
    <row r="813" ht="15.75" customHeight="1" s="30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</row>
    <row r="814" ht="15.75" customHeight="1" s="30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</row>
    <row r="815" ht="15.75" customHeight="1" s="30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</row>
    <row r="816" ht="15.75" customHeight="1" s="30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</row>
    <row r="817" ht="15.75" customHeight="1" s="30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</row>
    <row r="818" ht="15.75" customHeight="1" s="30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</row>
    <row r="819" ht="15.75" customHeight="1" s="30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</row>
    <row r="820" ht="15.75" customHeight="1" s="3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</row>
    <row r="821" ht="15.75" customHeight="1" s="30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</row>
    <row r="822" ht="15.75" customHeight="1" s="30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</row>
    <row r="823" ht="15.75" customHeight="1" s="30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</row>
    <row r="824" ht="15.75" customHeight="1" s="30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</row>
    <row r="825" ht="15.75" customHeight="1" s="30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</row>
    <row r="826" ht="15.75" customHeight="1" s="30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</row>
    <row r="827" ht="15.75" customHeight="1" s="30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</row>
    <row r="828" ht="15.75" customHeight="1" s="30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</row>
    <row r="829" ht="15.75" customHeight="1" s="30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</row>
    <row r="830" ht="15.75" customHeight="1" s="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</row>
    <row r="831" ht="15.75" customHeight="1" s="30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</row>
    <row r="832" ht="15.75" customHeight="1" s="30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</row>
    <row r="833" ht="15.75" customHeight="1" s="30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</row>
    <row r="834" ht="15.75" customHeight="1" s="30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</row>
    <row r="835" ht="15.75" customHeight="1" s="30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</row>
    <row r="836" ht="15.75" customHeight="1" s="30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</row>
    <row r="837" ht="15.75" customHeight="1" s="30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</row>
    <row r="838" ht="15.75" customHeight="1" s="30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</row>
    <row r="839" ht="15.75" customHeight="1" s="30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</row>
    <row r="840" ht="15.75" customHeight="1" s="3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</row>
    <row r="841" ht="15.75" customHeight="1" s="30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</row>
    <row r="842" ht="15.75" customHeight="1" s="30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</row>
    <row r="843" ht="15.75" customHeight="1" s="30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</row>
    <row r="844" ht="15.75" customHeight="1" s="30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</row>
    <row r="845" ht="15.75" customHeight="1" s="30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</row>
    <row r="846" ht="15.75" customHeight="1" s="30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</row>
    <row r="847" ht="15.75" customHeight="1" s="30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</row>
    <row r="848" ht="15.75" customHeight="1" s="30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</row>
    <row r="849" ht="15.75" customHeight="1" s="30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</row>
    <row r="850" ht="15.75" customHeight="1" s="3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</row>
    <row r="851" ht="15.75" customHeight="1" s="30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</row>
    <row r="852" ht="15.75" customHeight="1" s="30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</row>
    <row r="853" ht="15.75" customHeight="1" s="30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</row>
    <row r="854" ht="15.75" customHeight="1" s="30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</row>
    <row r="855" ht="15.75" customHeight="1" s="30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</row>
    <row r="856" ht="15.75" customHeight="1" s="30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</row>
    <row r="857" ht="15.75" customHeight="1" s="30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</row>
    <row r="858" ht="15.75" customHeight="1" s="30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</row>
    <row r="859" ht="15.75" customHeight="1" s="30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</row>
    <row r="860" ht="15.75" customHeight="1" s="3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</row>
    <row r="861" ht="15.75" customHeight="1" s="30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</row>
    <row r="862" ht="15.75" customHeight="1" s="30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</row>
    <row r="863" ht="15.75" customHeight="1" s="30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</row>
    <row r="864" ht="15.75" customHeight="1" s="30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</row>
    <row r="865" ht="15.75" customHeight="1" s="30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</row>
    <row r="866" ht="15.75" customHeight="1" s="30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</row>
    <row r="867" ht="15.75" customHeight="1" s="30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</row>
    <row r="868" ht="15.75" customHeight="1" s="30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</row>
    <row r="869" ht="15.75" customHeight="1" s="30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</row>
    <row r="870" ht="15.75" customHeight="1" s="3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</row>
    <row r="871" ht="15.75" customHeight="1" s="30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</row>
    <row r="872" ht="15.75" customHeight="1" s="30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</row>
    <row r="873" ht="15.75" customHeight="1" s="30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</row>
    <row r="874" ht="15.75" customHeight="1" s="30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</row>
    <row r="875" ht="15.75" customHeight="1" s="30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</row>
    <row r="876" ht="15.75" customHeight="1" s="30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</row>
    <row r="877" ht="15.75" customHeight="1" s="30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</row>
    <row r="878" ht="15.75" customHeight="1" s="30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</row>
    <row r="879" ht="15.75" customHeight="1" s="30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</row>
    <row r="880" ht="15.75" customHeight="1" s="3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</row>
    <row r="881" ht="15.75" customHeight="1" s="30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</row>
    <row r="882" ht="15.75" customHeight="1" s="30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</row>
    <row r="883" ht="15.75" customHeight="1" s="30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</row>
    <row r="884" ht="15.75" customHeight="1" s="30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</row>
    <row r="885" ht="15.75" customHeight="1" s="30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</row>
    <row r="886" ht="15.75" customHeight="1" s="30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</row>
    <row r="887" ht="15.75" customHeight="1" s="30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</row>
    <row r="888" ht="15.75" customHeight="1" s="30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</row>
    <row r="889" ht="15.75" customHeight="1" s="30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</row>
    <row r="890" ht="15.75" customHeight="1" s="3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</row>
    <row r="891" ht="15.75" customHeight="1" s="30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</row>
    <row r="892" ht="15.75" customHeight="1" s="30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</row>
    <row r="893" ht="15.75" customHeight="1" s="30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</row>
    <row r="894" ht="15.75" customHeight="1" s="30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</row>
    <row r="895" ht="15.75" customHeight="1" s="30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</row>
    <row r="896" ht="15.75" customHeight="1" s="30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</row>
    <row r="897" ht="15.75" customHeight="1" s="30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</row>
    <row r="898" ht="15.75" customHeight="1" s="30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</row>
    <row r="899" ht="15.75" customHeight="1" s="30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</row>
    <row r="900" ht="15.75" customHeight="1" s="3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</row>
    <row r="901" ht="15.75" customHeight="1" s="30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</row>
    <row r="902" ht="15.75" customHeight="1" s="30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</row>
    <row r="903" ht="15.75" customHeight="1" s="30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</row>
    <row r="904" ht="15.75" customHeight="1" s="30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</row>
    <row r="905" ht="15.75" customHeight="1" s="30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</row>
    <row r="906" ht="15.75" customHeight="1" s="30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</row>
    <row r="907" ht="15.75" customHeight="1" s="30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</row>
    <row r="908" ht="15.75" customHeight="1" s="30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</row>
    <row r="909" ht="15.75" customHeight="1" s="30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</row>
    <row r="910" ht="15.75" customHeight="1" s="3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</row>
    <row r="911" ht="15.75" customHeight="1" s="30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</row>
    <row r="912" ht="15.75" customHeight="1" s="30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</row>
    <row r="913" ht="15.75" customHeight="1" s="30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</row>
    <row r="914" ht="15.75" customHeight="1" s="30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</row>
    <row r="915" ht="15.75" customHeight="1" s="30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</row>
    <row r="916" ht="15.75" customHeight="1" s="30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</row>
    <row r="917" ht="15.75" customHeight="1" s="30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</row>
    <row r="918" ht="15.75" customHeight="1" s="30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</row>
    <row r="919" ht="15.75" customHeight="1" s="30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</row>
    <row r="920" ht="15.75" customHeight="1" s="3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</row>
    <row r="921" ht="15.75" customHeight="1" s="30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</row>
    <row r="922" ht="15.75" customHeight="1" s="30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</row>
    <row r="923" ht="15.75" customHeight="1" s="30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</row>
    <row r="924" ht="15.75" customHeight="1" s="30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</row>
    <row r="925" ht="15.75" customHeight="1" s="30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</row>
    <row r="926" ht="15.75" customHeight="1" s="30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</row>
    <row r="927" ht="15.75" customHeight="1" s="30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</row>
    <row r="928" ht="15.75" customHeight="1" s="30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</row>
    <row r="929" ht="15.75" customHeight="1" s="30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</row>
    <row r="930" ht="15.75" customHeight="1" s="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</row>
    <row r="931" ht="15.75" customHeight="1" s="30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</row>
    <row r="932" ht="15.75" customHeight="1" s="30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</row>
    <row r="933" ht="15.75" customHeight="1" s="30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</row>
    <row r="934" ht="15.75" customHeight="1" s="30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</row>
    <row r="935" ht="15.75" customHeight="1" s="30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</row>
    <row r="936" ht="15.75" customHeight="1" s="30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</row>
    <row r="937" ht="15.75" customHeight="1" s="30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</row>
    <row r="938" ht="15.75" customHeight="1" s="30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</row>
    <row r="939" ht="15.75" customHeight="1" s="30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</row>
    <row r="940" ht="15.75" customHeight="1" s="3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</row>
    <row r="941" ht="15.75" customHeight="1" s="30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</row>
    <row r="942" ht="15.75" customHeight="1" s="30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</row>
    <row r="943" ht="15.75" customHeight="1" s="30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</row>
    <row r="944" ht="15.75" customHeight="1" s="30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</row>
    <row r="945" ht="15.75" customHeight="1" s="30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</row>
    <row r="946" ht="15.75" customHeight="1" s="30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</row>
    <row r="947" ht="15.75" customHeight="1" s="30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</row>
    <row r="948" ht="15.75" customHeight="1" s="30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</row>
    <row r="949" ht="15.75" customHeight="1" s="30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</row>
    <row r="950" ht="15.75" customHeight="1" s="3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</row>
    <row r="951" ht="15.75" customHeight="1" s="30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</row>
    <row r="952" ht="15.75" customHeight="1" s="30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</row>
    <row r="953" ht="15.75" customHeight="1" s="30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</row>
    <row r="954" ht="15.75" customHeight="1" s="30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</row>
    <row r="955" ht="15.75" customHeight="1" s="30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</row>
    <row r="956" ht="15.75" customHeight="1" s="30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</row>
    <row r="957" ht="15.75" customHeight="1" s="30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</row>
    <row r="958" ht="15.75" customHeight="1" s="30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</row>
    <row r="959" ht="15.75" customHeight="1" s="30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</row>
    <row r="960" ht="15.75" customHeight="1" s="3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</row>
    <row r="961" ht="15.75" customHeight="1" s="30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</row>
    <row r="962" ht="15.75" customHeight="1" s="30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</row>
    <row r="963" ht="15.75" customHeight="1" s="30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</row>
    <row r="964" ht="15.75" customHeight="1" s="30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</row>
    <row r="965" ht="15.75" customHeight="1" s="30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</row>
    <row r="966" ht="15.75" customHeight="1" s="30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</row>
    <row r="967" ht="15.75" customHeight="1" s="30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</row>
    <row r="968" ht="15.75" customHeight="1" s="30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</row>
    <row r="969" ht="15.75" customHeight="1" s="30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</row>
    <row r="970" ht="15.75" customHeight="1" s="3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</row>
    <row r="971" ht="15.75" customHeight="1" s="30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</row>
    <row r="972" ht="15.75" customHeight="1" s="30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</row>
    <row r="973" ht="15.75" customHeight="1" s="30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</row>
    <row r="974" ht="15.75" customHeight="1" s="30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</row>
    <row r="975" ht="15.75" customHeight="1" s="30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</row>
    <row r="976" ht="15.75" customHeight="1" s="30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</row>
    <row r="977" ht="15.75" customHeight="1" s="30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</row>
    <row r="978" ht="15.75" customHeight="1" s="30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</row>
    <row r="979" ht="15.75" customHeight="1" s="30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</row>
    <row r="980" ht="15.75" customHeight="1" s="3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</row>
    <row r="981" ht="15.75" customHeight="1" s="30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</row>
    <row r="982" ht="15.75" customHeight="1" s="30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</row>
    <row r="983" ht="15.75" customHeight="1" s="30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</row>
    <row r="984" ht="15.75" customHeight="1" s="30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</row>
    <row r="985" ht="15.75" customHeight="1" s="30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</row>
    <row r="986" ht="15.75" customHeight="1" s="30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</row>
    <row r="987" ht="15.75" customHeight="1" s="30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</row>
    <row r="988" ht="15.75" customHeight="1" s="30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</row>
    <row r="989" ht="15.75" customHeight="1" s="30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</row>
    <row r="990" ht="15.75" customHeight="1" s="3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</row>
    <row r="991" ht="15.75" customHeight="1" s="30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</row>
    <row r="992" ht="15.75" customHeight="1" s="30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</row>
    <row r="993" ht="15.75" customHeight="1" s="30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</row>
    <row r="994" ht="15.75" customHeight="1" s="30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</row>
    <row r="995" ht="15.75" customHeight="1" s="30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</row>
    <row r="996" ht="15.75" customHeight="1" s="30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</row>
    <row r="997" ht="15.75" customHeight="1" s="30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</row>
    <row r="998" ht="15.75" customHeight="1" s="30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</row>
    <row r="999" ht="15.75" customHeight="1" s="30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</row>
    <row r="1000" ht="15.75" customHeight="1" s="3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</row>
  </sheetData>
  <dataValidations count="6">
    <dataValidation sqref="F4:F61 F63:F200 N3:N61 N63:N200" showDropDown="0" showInputMessage="0" showErrorMessage="0" allowBlank="1" type="list">
      <formula1>"YES,NO"</formula1>
    </dataValidation>
    <dataValidation sqref="L4:L61 L63:L200" showDropDown="0" showInputMessage="0" showErrorMessage="0" allowBlank="1" type="list">
      <formula1>"1,2,3,4,5"</formula1>
    </dataValidation>
    <dataValidation sqref="C4:C61 C63:C200" showDropDown="0" showInputMessage="0" showErrorMessage="0" allowBlank="1" type="list">
      <formula1>"SDNA,Gazzetta,Sportdog"</formula1>
    </dataValidation>
    <dataValidation sqref="M4:M61 M63:M200" showDropDown="0" showInputMessage="0" showErrorMessage="0" allowBlank="1" type="list">
      <formula1>"high,medium,low"</formula1>
    </dataValidation>
    <dataValidation sqref="I4:I61 I63:I200 P3:P61 P63:P200" showDropDown="0" showInputMessage="0" showErrorMessage="0" allowBlank="1" type="list">
      <formula1>"bereavement,injury,contract_dispute,disciplinary,transfer_rumor,public_controversy,return_from_injury,other"</formula1>
    </dataValidation>
    <dataValidation sqref="K4:K61 K63:K200" showDropDown="0" showInputMessage="0" showErrorMessage="0" allowBlank="1" type="list">
      <formula1>"exact,approximate,unknown"</formula1>
    </dataValidation>
  </dataValidation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2" r:id="rId79"/>
    <hyperlink xmlns:r="http://schemas.openxmlformats.org/officeDocument/2006/relationships" ref="D83" r:id="rId80"/>
    <hyperlink xmlns:r="http://schemas.openxmlformats.org/officeDocument/2006/relationships" ref="D84" r:id="rId81"/>
    <hyperlink xmlns:r="http://schemas.openxmlformats.org/officeDocument/2006/relationships" ref="D85" r:id="rId82"/>
    <hyperlink xmlns:r="http://schemas.openxmlformats.org/officeDocument/2006/relationships" ref="D86" r:id="rId83"/>
    <hyperlink xmlns:r="http://schemas.openxmlformats.org/officeDocument/2006/relationships" ref="D87" r:id="rId84"/>
    <hyperlink xmlns:r="http://schemas.openxmlformats.org/officeDocument/2006/relationships" ref="D88" r:id="rId85"/>
    <hyperlink xmlns:r="http://schemas.openxmlformats.org/officeDocument/2006/relationships" ref="D89" r:id="rId86"/>
    <hyperlink xmlns:r="http://schemas.openxmlformats.org/officeDocument/2006/relationships" ref="D90" r:id="rId87"/>
    <hyperlink xmlns:r="http://schemas.openxmlformats.org/officeDocument/2006/relationships" ref="D91" r:id="rId88"/>
    <hyperlink xmlns:r="http://schemas.openxmlformats.org/officeDocument/2006/relationships" ref="D92" r:id="rId89"/>
    <hyperlink xmlns:r="http://schemas.openxmlformats.org/officeDocument/2006/relationships" ref="D93" r:id="rId90"/>
    <hyperlink xmlns:r="http://schemas.openxmlformats.org/officeDocument/2006/relationships" ref="D94" r:id="rId91"/>
    <hyperlink xmlns:r="http://schemas.openxmlformats.org/officeDocument/2006/relationships" ref="D95" r:id="rId92"/>
    <hyperlink xmlns:r="http://schemas.openxmlformats.org/officeDocument/2006/relationships" ref="D96" r:id="rId93"/>
    <hyperlink xmlns:r="http://schemas.openxmlformats.org/officeDocument/2006/relationships" ref="D97" r:id="rId94"/>
    <hyperlink xmlns:r="http://schemas.openxmlformats.org/officeDocument/2006/relationships" ref="D98" r:id="rId95"/>
    <hyperlink xmlns:r="http://schemas.openxmlformats.org/officeDocument/2006/relationships" ref="D99" r:id="rId96"/>
    <hyperlink xmlns:r="http://schemas.openxmlformats.org/officeDocument/2006/relationships" ref="D100" r:id="rId97"/>
    <hyperlink xmlns:r="http://schemas.openxmlformats.org/officeDocument/2006/relationships" ref="D101" r:id="rId98"/>
    <hyperlink xmlns:r="http://schemas.openxmlformats.org/officeDocument/2006/relationships" ref="D102" r:id="rId99"/>
    <hyperlink xmlns:r="http://schemas.openxmlformats.org/officeDocument/2006/relationships" ref="D103" r:id="rId100"/>
    <hyperlink xmlns:r="http://schemas.openxmlformats.org/officeDocument/2006/relationships" ref="D104" r:id="rId101"/>
    <hyperlink xmlns:r="http://schemas.openxmlformats.org/officeDocument/2006/relationships" ref="D105" r:id="rId102"/>
    <hyperlink xmlns:r="http://schemas.openxmlformats.org/officeDocument/2006/relationships" ref="D106" r:id="rId103"/>
    <hyperlink xmlns:r="http://schemas.openxmlformats.org/officeDocument/2006/relationships" ref="D107" r:id="rId104"/>
    <hyperlink xmlns:r="http://schemas.openxmlformats.org/officeDocument/2006/relationships" ref="D108" r:id="rId105"/>
    <hyperlink xmlns:r="http://schemas.openxmlformats.org/officeDocument/2006/relationships" ref="D109" r:id="rId106"/>
    <hyperlink xmlns:r="http://schemas.openxmlformats.org/officeDocument/2006/relationships" ref="D110" r:id="rId107"/>
    <hyperlink xmlns:r="http://schemas.openxmlformats.org/officeDocument/2006/relationships" ref="D111" r:id="rId108"/>
    <hyperlink xmlns:r="http://schemas.openxmlformats.org/officeDocument/2006/relationships" ref="D112" r:id="rId109"/>
    <hyperlink xmlns:r="http://schemas.openxmlformats.org/officeDocument/2006/relationships" ref="D113" r:id="rId110"/>
    <hyperlink xmlns:r="http://schemas.openxmlformats.org/officeDocument/2006/relationships" ref="D114" r:id="rId111"/>
    <hyperlink xmlns:r="http://schemas.openxmlformats.org/officeDocument/2006/relationships" ref="D115" r:id="rId112"/>
    <hyperlink xmlns:r="http://schemas.openxmlformats.org/officeDocument/2006/relationships" ref="D116" r:id="rId113"/>
    <hyperlink xmlns:r="http://schemas.openxmlformats.org/officeDocument/2006/relationships" ref="D117" r:id="rId114"/>
    <hyperlink xmlns:r="http://schemas.openxmlformats.org/officeDocument/2006/relationships" ref="D118" r:id="rId115"/>
    <hyperlink xmlns:r="http://schemas.openxmlformats.org/officeDocument/2006/relationships" ref="D119" r:id="rId116"/>
    <hyperlink xmlns:r="http://schemas.openxmlformats.org/officeDocument/2006/relationships" ref="D120" r:id="rId117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30" min="1" max="1"/>
    <col width="16" customWidth="1" style="30" min="2" max="2"/>
    <col width="50" customWidth="1" style="30" min="3" max="3"/>
    <col width="8.710000000000001" customWidth="1" style="30" min="4" max="26"/>
  </cols>
  <sheetData>
    <row r="1" ht="17.25" customHeight="1" s="30">
      <c r="A1" s="15" t="inlineStr">
        <is>
          <t>Event-Detection Validation Metrics</t>
        </is>
      </c>
      <c r="B1" s="14" t="n"/>
      <c r="C1" s="14" t="n"/>
    </row>
    <row r="2" ht="15" customHeight="1" s="30">
      <c r="A2" s="16" t="inlineStr">
        <is>
          <t>Auto-computed from the 'Article Labeling' sheet. Set your pass/fail threshold BEFORE looking at results.</t>
        </is>
      </c>
      <c r="B2" s="14" t="n"/>
      <c r="C2" s="14" t="n"/>
    </row>
    <row r="3">
      <c r="A3" s="14" t="n"/>
      <c r="B3" s="14" t="n"/>
      <c r="C3" s="14" t="n"/>
    </row>
    <row r="4" ht="15" customHeight="1" s="30">
      <c r="A4" s="17" t="inlineStr">
        <is>
          <t>Confusion Matrix Counts</t>
        </is>
      </c>
      <c r="B4" s="18" t="n"/>
      <c r="C4" s="19" t="n"/>
    </row>
    <row r="5" ht="15" customHeight="1" s="30">
      <c r="A5" s="20" t="inlineStr">
        <is>
          <t>True Positives (TP)</t>
        </is>
      </c>
      <c r="B5" s="20">
        <f>COUNTIF('Article Labeling'!Q3:Q200,"TP")</f>
        <v/>
      </c>
      <c r="C5" s="21" t="inlineStr">
        <is>
          <t>Classifier flagged AND real event</t>
        </is>
      </c>
    </row>
    <row r="6" ht="15" customHeight="1" s="30">
      <c r="A6" s="20" t="inlineStr">
        <is>
          <t>False Positives (FP)</t>
        </is>
      </c>
      <c r="B6" s="20">
        <f>COUNTIF('Article Labeling'!Q3:Q200,"FP")</f>
        <v/>
      </c>
      <c r="C6" s="21" t="inlineStr">
        <is>
          <t>Classifier flagged but NO real event (pollutes treatment group)</t>
        </is>
      </c>
    </row>
    <row r="7" ht="15" customHeight="1" s="30">
      <c r="A7" s="20" t="inlineStr">
        <is>
          <t>False Negatives (FN)</t>
        </is>
      </c>
      <c r="B7" s="20">
        <f>COUNTIF('Article Labeling'!Q3:Q200,"FN")</f>
        <v/>
      </c>
      <c r="C7" s="21" t="inlineStr">
        <is>
          <t>Real event the classifier missed (shrinks sample)</t>
        </is>
      </c>
    </row>
    <row r="8" ht="15" customHeight="1" s="30">
      <c r="A8" s="20" t="inlineStr">
        <is>
          <t>True Negatives (TN)</t>
        </is>
      </c>
      <c r="B8" s="20">
        <f>COUNTIF('Article Labeling'!Q3:Q200,"TN")</f>
        <v/>
      </c>
      <c r="C8" s="21" t="inlineStr">
        <is>
          <t>Correctly identified non-events</t>
        </is>
      </c>
    </row>
    <row r="9" ht="15" customHeight="1" s="30">
      <c r="A9" s="20" t="inlineStr">
        <is>
          <t>Total labeled</t>
        </is>
      </c>
      <c r="B9" s="20">
        <f>B5+B6+B7+B8</f>
        <v/>
      </c>
      <c r="C9" s="21" t="inlineStr">
        <is>
          <t>Total articles with both labels filled</t>
        </is>
      </c>
    </row>
    <row r="10" ht="15" customHeight="1" s="30">
      <c r="A10" s="20" t="n"/>
      <c r="B10" s="14" t="n"/>
      <c r="C10" s="21" t="n"/>
    </row>
    <row r="11" ht="15" customHeight="1" s="30">
      <c r="A11" s="17" t="inlineStr">
        <is>
          <t>Core Metrics</t>
        </is>
      </c>
      <c r="B11" s="18" t="n"/>
      <c r="C11" s="19" t="n"/>
    </row>
    <row r="12" ht="21.75" customHeight="1" s="30">
      <c r="A12" s="20" t="inlineStr">
        <is>
          <t>Precision</t>
        </is>
      </c>
      <c r="B12" s="22">
        <f>IF((B5+B6)=0,"-",B5/(B5+B6))</f>
        <v/>
      </c>
      <c r="C12" s="21" t="inlineStr">
        <is>
          <t>Of flagged events, fraction that are real. THE KEY NUMBER. Target &gt; 0.80.</t>
        </is>
      </c>
    </row>
    <row r="13" ht="15" customHeight="1" s="30">
      <c r="A13" s="20" t="inlineStr">
        <is>
          <t>Recall</t>
        </is>
      </c>
      <c r="B13" s="23">
        <f>IF((B5+B7)=0,"-",B5/(B5+B7))</f>
        <v/>
      </c>
      <c r="C13" s="21" t="inlineStr">
        <is>
          <t>Of real events, fraction caught. Lower is survivable.</t>
        </is>
      </c>
    </row>
    <row r="14" ht="15" customHeight="1" s="30">
      <c r="A14" s="20" t="inlineStr">
        <is>
          <t>F1 Score</t>
        </is>
      </c>
      <c r="B14" s="23">
        <f>IF(OR(B12="-",B13="-"),"-",IF((B12+B13)=0,"-",2*B12*B13/(B12+B13)))</f>
        <v/>
      </c>
      <c r="C14" s="21" t="inlineStr">
        <is>
          <t>Harmonic mean of precision &amp; recall.</t>
        </is>
      </c>
    </row>
    <row r="15" ht="15" customHeight="1" s="30">
      <c r="A15" s="20" t="inlineStr">
        <is>
          <t>Specificity</t>
        </is>
      </c>
      <c r="B15" s="23">
        <f>IF((B8+B6)=0,"-",B8/(B8+B6))</f>
        <v/>
      </c>
      <c r="C15" s="21" t="inlineStr">
        <is>
          <t>Of non-events, fraction correctly ignored.</t>
        </is>
      </c>
    </row>
    <row r="16" ht="15" customHeight="1" s="30">
      <c r="A16" s="20" t="n"/>
      <c r="B16" s="14" t="n"/>
      <c r="C16" s="21" t="n"/>
    </row>
    <row r="17" ht="15" customHeight="1" s="30">
      <c r="A17" s="17" t="inlineStr">
        <is>
          <t>Attribution Quality (manual count)</t>
        </is>
      </c>
      <c r="B17" s="18" t="n"/>
      <c r="C17" s="19" t="inlineStr">
        <is>
          <t>Among TPs, how often player+type are also correct</t>
        </is>
      </c>
    </row>
    <row r="18" ht="21.75" customHeight="1" s="30">
      <c r="A18" s="20" t="inlineStr">
        <is>
          <t>TPs with CORRECT player</t>
        </is>
      </c>
      <c r="B18" s="14" t="n"/>
      <c r="C18" s="21" t="inlineStr">
        <is>
          <t>Count by hand or formula: F=YES &amp; classifier_player matches affected_player</t>
        </is>
      </c>
    </row>
    <row r="19" ht="15" customHeight="1" s="30">
      <c r="A19" s="20" t="inlineStr">
        <is>
          <t>TPs with CORRECT event type</t>
        </is>
      </c>
      <c r="B19" s="14" t="n"/>
      <c r="C19" s="21" t="inlineStr">
        <is>
          <t>Count by hand: classifier_event_type matches your event_type</t>
        </is>
      </c>
    </row>
    <row r="20" ht="15" customHeight="1" s="30">
      <c r="A20" s="20" t="n"/>
      <c r="B20" s="14" t="n"/>
      <c r="C20" s="21" t="n"/>
    </row>
    <row r="21" ht="15" customHeight="1" s="30">
      <c r="A21" s="17" t="inlineStr">
        <is>
          <t>DECISION GATE</t>
        </is>
      </c>
      <c r="B21" s="18" t="n"/>
      <c r="C21" s="19" t="n"/>
    </row>
    <row r="22" ht="15" customHeight="1" s="30">
      <c r="A22" s="20" t="inlineStr">
        <is>
          <t>Precision threshold set in advance</t>
        </is>
      </c>
      <c r="B22" s="24" t="inlineStr">
        <is>
          <t>0.80</t>
        </is>
      </c>
      <c r="C22" s="21" t="inlineStr">
        <is>
          <t>&lt;-- WRITE YOUR THRESHOLD HERE before viewing results</t>
        </is>
      </c>
    </row>
    <row r="23" ht="15" customHeight="1" s="30">
      <c r="A23" s="20" t="inlineStr">
        <is>
          <t>Pass?</t>
        </is>
      </c>
      <c r="B23" s="25">
        <f>IF(B12="-","no data yet",IF(B12&gt;=B22,"PASS - proceed to modeling","FAIL - fix detector or use human-in-loop"))</f>
        <v/>
      </c>
      <c r="C23" s="21" t="inlineStr">
        <is>
          <t>Automated verdict</t>
        </is>
      </c>
    </row>
    <row r="24" ht="15.75" customHeight="1" s="30">
      <c r="A24" s="14" t="n"/>
      <c r="B24" s="14" t="n"/>
      <c r="C24" s="14" t="n"/>
    </row>
    <row r="25" ht="15.75" customHeight="1" s="30">
      <c r="A25" s="14" t="n"/>
      <c r="B25" s="14" t="n"/>
      <c r="C25" s="14" t="n"/>
    </row>
    <row r="26" ht="15.75" customHeight="1" s="30">
      <c r="A26" s="14" t="n"/>
      <c r="B26" s="14" t="n"/>
      <c r="C26" s="14" t="n"/>
    </row>
    <row r="27" ht="15.75" customHeight="1" s="30">
      <c r="A27" s="14" t="n"/>
      <c r="B27" s="14" t="n"/>
      <c r="C27" s="14" t="n"/>
    </row>
    <row r="28" ht="15.75" customHeight="1" s="30">
      <c r="A28" s="14" t="n"/>
      <c r="B28" s="14" t="n"/>
      <c r="C28" s="14" t="n"/>
    </row>
    <row r="29" ht="15.75" customHeight="1" s="30">
      <c r="A29" s="14" t="n"/>
      <c r="B29" s="14" t="n"/>
      <c r="C29" s="14" t="n"/>
    </row>
    <row r="30" ht="15.75" customHeight="1" s="30">
      <c r="A30" s="14" t="n"/>
      <c r="B30" s="14" t="n"/>
      <c r="C30" s="14" t="n"/>
    </row>
    <row r="31" ht="15.75" customHeight="1" s="30">
      <c r="A31" s="14" t="n"/>
      <c r="B31" s="14" t="n"/>
      <c r="C31" s="14" t="n"/>
    </row>
    <row r="32" ht="15.75" customHeight="1" s="30">
      <c r="A32" s="14" t="n"/>
      <c r="B32" s="14" t="n"/>
      <c r="C32" s="14" t="n"/>
    </row>
    <row r="33" ht="15.75" customHeight="1" s="30">
      <c r="A33" s="14" t="n"/>
      <c r="B33" s="14" t="n"/>
      <c r="C33" s="14" t="n"/>
    </row>
    <row r="34" ht="15.75" customHeight="1" s="30">
      <c r="A34" s="14" t="n"/>
      <c r="B34" s="14" t="n"/>
      <c r="C34" s="14" t="n"/>
    </row>
    <row r="35" ht="15.75" customHeight="1" s="30">
      <c r="A35" s="14" t="n"/>
      <c r="B35" s="14" t="n"/>
      <c r="C35" s="14" t="n"/>
    </row>
    <row r="36" ht="15.75" customHeight="1" s="30">
      <c r="A36" s="14" t="n"/>
      <c r="B36" s="14" t="n"/>
      <c r="C36" s="14" t="n"/>
    </row>
    <row r="37" ht="15.75" customHeight="1" s="30">
      <c r="A37" s="14" t="n"/>
      <c r="B37" s="14" t="n"/>
      <c r="C37" s="14" t="n"/>
    </row>
    <row r="38" ht="15.75" customHeight="1" s="30">
      <c r="A38" s="14" t="n"/>
      <c r="B38" s="14" t="n"/>
      <c r="C38" s="14" t="n"/>
    </row>
    <row r="39" ht="15.75" customHeight="1" s="30">
      <c r="A39" s="14" t="n"/>
      <c r="B39" s="14" t="n"/>
      <c r="C39" s="14" t="n"/>
    </row>
    <row r="40" ht="15.75" customHeight="1" s="30">
      <c r="A40" s="14" t="n"/>
      <c r="B40" s="14" t="n"/>
      <c r="C40" s="14" t="n"/>
    </row>
    <row r="41" ht="15.75" customHeight="1" s="30">
      <c r="A41" s="14" t="n"/>
      <c r="B41" s="14" t="n"/>
      <c r="C41" s="14" t="n"/>
    </row>
    <row r="42" ht="15.75" customHeight="1" s="30">
      <c r="A42" s="14" t="n"/>
      <c r="B42" s="14" t="n"/>
      <c r="C42" s="14" t="n"/>
    </row>
    <row r="43" ht="15.75" customHeight="1" s="30">
      <c r="A43" s="14" t="n"/>
      <c r="B43" s="14" t="n"/>
      <c r="C43" s="14" t="n"/>
    </row>
    <row r="44" ht="15.75" customHeight="1" s="30">
      <c r="A44" s="14" t="n"/>
      <c r="B44" s="14" t="n"/>
      <c r="C44" s="14" t="n"/>
    </row>
    <row r="45" ht="15.75" customHeight="1" s="30">
      <c r="A45" s="14" t="n"/>
      <c r="B45" s="14" t="n"/>
      <c r="C45" s="14" t="n"/>
    </row>
    <row r="46" ht="15.75" customHeight="1" s="30">
      <c r="A46" s="14" t="n"/>
      <c r="B46" s="14" t="n"/>
      <c r="C46" s="14" t="n"/>
    </row>
    <row r="47" ht="15.75" customHeight="1" s="30">
      <c r="A47" s="14" t="n"/>
      <c r="B47" s="14" t="n"/>
      <c r="C47" s="14" t="n"/>
    </row>
    <row r="48" ht="15.75" customHeight="1" s="30">
      <c r="A48" s="14" t="n"/>
      <c r="B48" s="14" t="n"/>
      <c r="C48" s="14" t="n"/>
    </row>
    <row r="49" ht="15.75" customHeight="1" s="30">
      <c r="A49" s="14" t="n"/>
      <c r="B49" s="14" t="n"/>
      <c r="C49" s="14" t="n"/>
    </row>
    <row r="50" ht="15.75" customHeight="1" s="30">
      <c r="A50" s="14" t="n"/>
      <c r="B50" s="14" t="n"/>
      <c r="C50" s="14" t="n"/>
    </row>
    <row r="51" ht="15.75" customHeight="1" s="30">
      <c r="A51" s="14" t="n"/>
      <c r="B51" s="14" t="n"/>
      <c r="C51" s="14" t="n"/>
    </row>
    <row r="52" ht="15.75" customHeight="1" s="30">
      <c r="A52" s="14" t="n"/>
      <c r="B52" s="14" t="n"/>
      <c r="C52" s="14" t="n"/>
    </row>
    <row r="53" ht="15.75" customHeight="1" s="30">
      <c r="A53" s="14" t="n"/>
      <c r="B53" s="14" t="n"/>
      <c r="C53" s="14" t="n"/>
    </row>
    <row r="54" ht="15.75" customHeight="1" s="30">
      <c r="A54" s="14" t="n"/>
      <c r="B54" s="14" t="n"/>
      <c r="C54" s="14" t="n"/>
    </row>
    <row r="55" ht="15.75" customHeight="1" s="30">
      <c r="A55" s="14" t="n"/>
      <c r="B55" s="14" t="n"/>
      <c r="C55" s="14" t="n"/>
    </row>
    <row r="56" ht="15.75" customHeight="1" s="30">
      <c r="A56" s="14" t="n"/>
      <c r="B56" s="14" t="n"/>
      <c r="C56" s="14" t="n"/>
    </row>
    <row r="57" ht="15.75" customHeight="1" s="30">
      <c r="A57" s="14" t="n"/>
      <c r="B57" s="14" t="n"/>
      <c r="C57" s="14" t="n"/>
    </row>
    <row r="58" ht="15.75" customHeight="1" s="30">
      <c r="A58" s="14" t="n"/>
      <c r="B58" s="14" t="n"/>
      <c r="C58" s="14" t="n"/>
    </row>
    <row r="59" ht="15.75" customHeight="1" s="30">
      <c r="A59" s="14" t="n"/>
      <c r="B59" s="14" t="n"/>
      <c r="C59" s="14" t="n"/>
    </row>
    <row r="60" ht="15.75" customHeight="1" s="30">
      <c r="A60" s="14" t="n"/>
      <c r="B60" s="14" t="n"/>
      <c r="C60" s="14" t="n"/>
    </row>
    <row r="61" ht="15.75" customHeight="1" s="30">
      <c r="A61" s="14" t="n"/>
      <c r="B61" s="14" t="n"/>
      <c r="C61" s="14" t="n"/>
    </row>
    <row r="62" ht="15.75" customHeight="1" s="30">
      <c r="A62" s="14" t="n"/>
      <c r="B62" s="14" t="n"/>
      <c r="C62" s="14" t="n"/>
    </row>
    <row r="63" ht="15.75" customHeight="1" s="30">
      <c r="A63" s="14" t="n"/>
      <c r="B63" s="14" t="n"/>
      <c r="C63" s="14" t="n"/>
    </row>
    <row r="64" ht="15.75" customHeight="1" s="30">
      <c r="A64" s="14" t="n"/>
      <c r="B64" s="14" t="n"/>
      <c r="C64" s="14" t="n"/>
    </row>
    <row r="65" ht="15.75" customHeight="1" s="30">
      <c r="A65" s="14" t="n"/>
      <c r="B65" s="14" t="n"/>
      <c r="C65" s="14" t="n"/>
    </row>
    <row r="66" ht="15.75" customHeight="1" s="30">
      <c r="A66" s="14" t="n"/>
      <c r="B66" s="14" t="n"/>
      <c r="C66" s="14" t="n"/>
    </row>
    <row r="67" ht="15.75" customHeight="1" s="30">
      <c r="A67" s="14" t="n"/>
      <c r="B67" s="14" t="n"/>
      <c r="C67" s="14" t="n"/>
    </row>
    <row r="68" ht="15.75" customHeight="1" s="30">
      <c r="A68" s="14" t="n"/>
      <c r="B68" s="14" t="n"/>
      <c r="C68" s="14" t="n"/>
    </row>
    <row r="69" ht="15.75" customHeight="1" s="30">
      <c r="A69" s="14" t="n"/>
      <c r="B69" s="14" t="n"/>
      <c r="C69" s="14" t="n"/>
    </row>
    <row r="70" ht="15.75" customHeight="1" s="30">
      <c r="A70" s="14" t="n"/>
      <c r="B70" s="14" t="n"/>
      <c r="C70" s="14" t="n"/>
    </row>
    <row r="71" ht="15.75" customHeight="1" s="30">
      <c r="A71" s="14" t="n"/>
      <c r="B71" s="14" t="n"/>
      <c r="C71" s="14" t="n"/>
    </row>
    <row r="72" ht="15.75" customHeight="1" s="30">
      <c r="A72" s="14" t="n"/>
      <c r="B72" s="14" t="n"/>
      <c r="C72" s="14" t="n"/>
    </row>
    <row r="73" ht="15.75" customHeight="1" s="30">
      <c r="A73" s="14" t="n"/>
      <c r="B73" s="14" t="n"/>
      <c r="C73" s="14" t="n"/>
    </row>
    <row r="74" ht="15.75" customHeight="1" s="30">
      <c r="A74" s="14" t="n"/>
      <c r="B74" s="14" t="n"/>
      <c r="C74" s="14" t="n"/>
    </row>
    <row r="75" ht="15.75" customHeight="1" s="30">
      <c r="A75" s="14" t="n"/>
      <c r="B75" s="14" t="n"/>
      <c r="C75" s="14" t="n"/>
    </row>
    <row r="76" ht="15.75" customHeight="1" s="30">
      <c r="A76" s="14" t="n"/>
      <c r="B76" s="14" t="n"/>
      <c r="C76" s="14" t="n"/>
    </row>
    <row r="77" ht="15.75" customHeight="1" s="30">
      <c r="A77" s="14" t="n"/>
      <c r="B77" s="14" t="n"/>
      <c r="C77" s="14" t="n"/>
    </row>
    <row r="78" ht="15.75" customHeight="1" s="30">
      <c r="A78" s="14" t="n"/>
      <c r="B78" s="14" t="n"/>
      <c r="C78" s="14" t="n"/>
    </row>
    <row r="79" ht="15.75" customHeight="1" s="30">
      <c r="A79" s="14" t="n"/>
      <c r="B79" s="14" t="n"/>
      <c r="C79" s="14" t="n"/>
    </row>
    <row r="80" ht="15.75" customHeight="1" s="30">
      <c r="A80" s="14" t="n"/>
      <c r="B80" s="14" t="n"/>
      <c r="C80" s="14" t="n"/>
    </row>
    <row r="81" ht="15.75" customHeight="1" s="30">
      <c r="A81" s="14" t="n"/>
      <c r="B81" s="14" t="n"/>
      <c r="C81" s="14" t="n"/>
    </row>
    <row r="82" ht="15.75" customHeight="1" s="30">
      <c r="A82" s="14" t="n"/>
      <c r="B82" s="14" t="n"/>
      <c r="C82" s="14" t="n"/>
    </row>
    <row r="83" ht="15.75" customHeight="1" s="30">
      <c r="A83" s="14" t="n"/>
      <c r="B83" s="14" t="n"/>
      <c r="C83" s="14" t="n"/>
    </row>
    <row r="84" ht="15.75" customHeight="1" s="30">
      <c r="A84" s="14" t="n"/>
      <c r="B84" s="14" t="n"/>
      <c r="C84" s="14" t="n"/>
    </row>
    <row r="85" ht="15.75" customHeight="1" s="30">
      <c r="A85" s="14" t="n"/>
      <c r="B85" s="14" t="n"/>
      <c r="C85" s="14" t="n"/>
    </row>
    <row r="86" ht="15.75" customHeight="1" s="30">
      <c r="A86" s="14" t="n"/>
      <c r="B86" s="14" t="n"/>
      <c r="C86" s="14" t="n"/>
    </row>
    <row r="87" ht="15.75" customHeight="1" s="30">
      <c r="A87" s="14" t="n"/>
      <c r="B87" s="14" t="n"/>
      <c r="C87" s="14" t="n"/>
    </row>
    <row r="88" ht="15.75" customHeight="1" s="30">
      <c r="A88" s="14" t="n"/>
      <c r="B88" s="14" t="n"/>
      <c r="C88" s="14" t="n"/>
    </row>
    <row r="89" ht="15.75" customHeight="1" s="30">
      <c r="A89" s="14" t="n"/>
      <c r="B89" s="14" t="n"/>
      <c r="C89" s="14" t="n"/>
    </row>
    <row r="90" ht="15.75" customHeight="1" s="30">
      <c r="A90" s="14" t="n"/>
      <c r="B90" s="14" t="n"/>
      <c r="C90" s="14" t="n"/>
    </row>
    <row r="91" ht="15.75" customHeight="1" s="30">
      <c r="A91" s="14" t="n"/>
      <c r="B91" s="14" t="n"/>
      <c r="C91" s="14" t="n"/>
    </row>
    <row r="92" ht="15.75" customHeight="1" s="30">
      <c r="A92" s="14" t="n"/>
      <c r="B92" s="14" t="n"/>
      <c r="C92" s="14" t="n"/>
    </row>
    <row r="93" ht="15.75" customHeight="1" s="30">
      <c r="A93" s="14" t="n"/>
      <c r="B93" s="14" t="n"/>
      <c r="C93" s="14" t="n"/>
    </row>
    <row r="94" ht="15.75" customHeight="1" s="30">
      <c r="A94" s="14" t="n"/>
      <c r="B94" s="14" t="n"/>
      <c r="C94" s="14" t="n"/>
    </row>
    <row r="95" ht="15.75" customHeight="1" s="30">
      <c r="A95" s="14" t="n"/>
      <c r="B95" s="14" t="n"/>
      <c r="C95" s="14" t="n"/>
    </row>
    <row r="96" ht="15.75" customHeight="1" s="30">
      <c r="A96" s="14" t="n"/>
      <c r="B96" s="14" t="n"/>
      <c r="C96" s="14" t="n"/>
    </row>
    <row r="97" ht="15.75" customHeight="1" s="30">
      <c r="A97" s="14" t="n"/>
      <c r="B97" s="14" t="n"/>
      <c r="C97" s="14" t="n"/>
    </row>
    <row r="98" ht="15.75" customHeight="1" s="30">
      <c r="A98" s="14" t="n"/>
      <c r="B98" s="14" t="n"/>
      <c r="C98" s="14" t="n"/>
    </row>
    <row r="99" ht="15.75" customHeight="1" s="30">
      <c r="A99" s="14" t="n"/>
      <c r="B99" s="14" t="n"/>
      <c r="C99" s="14" t="n"/>
    </row>
    <row r="100" ht="15.75" customHeight="1" s="30">
      <c r="A100" s="14" t="n"/>
      <c r="B100" s="14" t="n"/>
      <c r="C100" s="14" t="n"/>
    </row>
    <row r="101" ht="15.75" customHeight="1" s="30">
      <c r="A101" s="14" t="n"/>
      <c r="B101" s="14" t="n"/>
      <c r="C101" s="14" t="n"/>
    </row>
    <row r="102" ht="15.75" customHeight="1" s="30">
      <c r="A102" s="14" t="n"/>
      <c r="B102" s="14" t="n"/>
      <c r="C102" s="14" t="n"/>
    </row>
    <row r="103" ht="15.75" customHeight="1" s="30">
      <c r="A103" s="14" t="n"/>
      <c r="B103" s="14" t="n"/>
      <c r="C103" s="14" t="n"/>
    </row>
    <row r="104" ht="15.75" customHeight="1" s="30">
      <c r="A104" s="14" t="n"/>
      <c r="B104" s="14" t="n"/>
      <c r="C104" s="14" t="n"/>
    </row>
    <row r="105" ht="15.75" customHeight="1" s="30">
      <c r="A105" s="14" t="n"/>
      <c r="B105" s="14" t="n"/>
      <c r="C105" s="14" t="n"/>
    </row>
    <row r="106" ht="15.75" customHeight="1" s="30">
      <c r="A106" s="14" t="n"/>
      <c r="B106" s="14" t="n"/>
      <c r="C106" s="14" t="n"/>
    </row>
    <row r="107" ht="15.75" customHeight="1" s="30">
      <c r="A107" s="14" t="n"/>
      <c r="B107" s="14" t="n"/>
      <c r="C107" s="14" t="n"/>
    </row>
    <row r="108" ht="15.75" customHeight="1" s="30">
      <c r="A108" s="14" t="n"/>
      <c r="B108" s="14" t="n"/>
      <c r="C108" s="14" t="n"/>
    </row>
    <row r="109" ht="15.75" customHeight="1" s="30">
      <c r="A109" s="14" t="n"/>
      <c r="B109" s="14" t="n"/>
      <c r="C109" s="14" t="n"/>
    </row>
    <row r="110" ht="15.75" customHeight="1" s="30">
      <c r="A110" s="14" t="n"/>
      <c r="B110" s="14" t="n"/>
      <c r="C110" s="14" t="n"/>
    </row>
    <row r="111" ht="15.75" customHeight="1" s="30">
      <c r="A111" s="14" t="n"/>
      <c r="B111" s="14" t="n"/>
      <c r="C111" s="14" t="n"/>
    </row>
    <row r="112" ht="15.75" customHeight="1" s="30">
      <c r="A112" s="14" t="n"/>
      <c r="B112" s="14" t="n"/>
      <c r="C112" s="14" t="n"/>
    </row>
    <row r="113" ht="15.75" customHeight="1" s="30">
      <c r="A113" s="14" t="n"/>
      <c r="B113" s="14" t="n"/>
      <c r="C113" s="14" t="n"/>
    </row>
    <row r="114" ht="15.75" customHeight="1" s="30">
      <c r="A114" s="14" t="n"/>
      <c r="B114" s="14" t="n"/>
      <c r="C114" s="14" t="n"/>
    </row>
    <row r="115" ht="15.75" customHeight="1" s="30">
      <c r="A115" s="14" t="n"/>
      <c r="B115" s="14" t="n"/>
      <c r="C115" s="14" t="n"/>
    </row>
    <row r="116" ht="15.75" customHeight="1" s="30">
      <c r="A116" s="14" t="n"/>
      <c r="B116" s="14" t="n"/>
      <c r="C116" s="14" t="n"/>
    </row>
    <row r="117" ht="15.75" customHeight="1" s="30">
      <c r="A117" s="14" t="n"/>
      <c r="B117" s="14" t="n"/>
      <c r="C117" s="14" t="n"/>
    </row>
    <row r="118" ht="15.75" customHeight="1" s="30">
      <c r="A118" s="14" t="n"/>
      <c r="B118" s="14" t="n"/>
      <c r="C118" s="14" t="n"/>
    </row>
    <row r="119" ht="15.75" customHeight="1" s="30">
      <c r="A119" s="14" t="n"/>
      <c r="B119" s="14" t="n"/>
      <c r="C119" s="14" t="n"/>
    </row>
    <row r="120" ht="15.75" customHeight="1" s="30">
      <c r="A120" s="14" t="n"/>
      <c r="B120" s="14" t="n"/>
      <c r="C120" s="14" t="n"/>
    </row>
    <row r="121" ht="15.75" customHeight="1" s="30">
      <c r="A121" s="14" t="n"/>
      <c r="B121" s="14" t="n"/>
      <c r="C121" s="14" t="n"/>
    </row>
    <row r="122" ht="15.75" customHeight="1" s="30">
      <c r="A122" s="14" t="n"/>
      <c r="B122" s="14" t="n"/>
      <c r="C122" s="14" t="n"/>
    </row>
    <row r="123" ht="15.75" customHeight="1" s="30">
      <c r="A123" s="14" t="n"/>
      <c r="B123" s="14" t="n"/>
      <c r="C123" s="14" t="n"/>
    </row>
    <row r="124" ht="15.75" customHeight="1" s="30">
      <c r="A124" s="14" t="n"/>
      <c r="B124" s="14" t="n"/>
      <c r="C124" s="14" t="n"/>
    </row>
    <row r="125" ht="15.75" customHeight="1" s="30">
      <c r="A125" s="14" t="n"/>
      <c r="B125" s="14" t="n"/>
      <c r="C125" s="14" t="n"/>
    </row>
    <row r="126" ht="15.75" customHeight="1" s="30">
      <c r="A126" s="14" t="n"/>
      <c r="B126" s="14" t="n"/>
      <c r="C126" s="14" t="n"/>
    </row>
    <row r="127" ht="15.75" customHeight="1" s="30">
      <c r="A127" s="14" t="n"/>
      <c r="B127" s="14" t="n"/>
      <c r="C127" s="14" t="n"/>
    </row>
    <row r="128" ht="15.75" customHeight="1" s="30">
      <c r="A128" s="14" t="n"/>
      <c r="B128" s="14" t="n"/>
      <c r="C128" s="14" t="n"/>
    </row>
    <row r="129" ht="15.75" customHeight="1" s="30">
      <c r="A129" s="14" t="n"/>
      <c r="B129" s="14" t="n"/>
      <c r="C129" s="14" t="n"/>
    </row>
    <row r="130" ht="15.75" customHeight="1" s="30">
      <c r="A130" s="14" t="n"/>
      <c r="B130" s="14" t="n"/>
      <c r="C130" s="14" t="n"/>
    </row>
    <row r="131" ht="15.75" customHeight="1" s="30">
      <c r="A131" s="14" t="n"/>
      <c r="B131" s="14" t="n"/>
      <c r="C131" s="14" t="n"/>
    </row>
    <row r="132" ht="15.75" customHeight="1" s="30">
      <c r="A132" s="14" t="n"/>
      <c r="B132" s="14" t="n"/>
      <c r="C132" s="14" t="n"/>
    </row>
    <row r="133" ht="15.75" customHeight="1" s="30">
      <c r="A133" s="14" t="n"/>
      <c r="B133" s="14" t="n"/>
      <c r="C133" s="14" t="n"/>
    </row>
    <row r="134" ht="15.75" customHeight="1" s="30">
      <c r="A134" s="14" t="n"/>
      <c r="B134" s="14" t="n"/>
      <c r="C134" s="14" t="n"/>
    </row>
    <row r="135" ht="15.75" customHeight="1" s="30">
      <c r="A135" s="14" t="n"/>
      <c r="B135" s="14" t="n"/>
      <c r="C135" s="14" t="n"/>
    </row>
    <row r="136" ht="15.75" customHeight="1" s="30">
      <c r="A136" s="14" t="n"/>
      <c r="B136" s="14" t="n"/>
      <c r="C136" s="14" t="n"/>
    </row>
    <row r="137" ht="15.75" customHeight="1" s="30">
      <c r="A137" s="14" t="n"/>
      <c r="B137" s="14" t="n"/>
      <c r="C137" s="14" t="n"/>
    </row>
    <row r="138" ht="15.75" customHeight="1" s="30">
      <c r="A138" s="14" t="n"/>
      <c r="B138" s="14" t="n"/>
      <c r="C138" s="14" t="n"/>
    </row>
    <row r="139" ht="15.75" customHeight="1" s="30">
      <c r="A139" s="14" t="n"/>
      <c r="B139" s="14" t="n"/>
      <c r="C139" s="14" t="n"/>
    </row>
    <row r="140" ht="15.75" customHeight="1" s="30">
      <c r="A140" s="14" t="n"/>
      <c r="B140" s="14" t="n"/>
      <c r="C140" s="14" t="n"/>
    </row>
    <row r="141" ht="15.75" customHeight="1" s="30">
      <c r="A141" s="14" t="n"/>
      <c r="B141" s="14" t="n"/>
      <c r="C141" s="14" t="n"/>
    </row>
    <row r="142" ht="15.75" customHeight="1" s="30">
      <c r="A142" s="14" t="n"/>
      <c r="B142" s="14" t="n"/>
      <c r="C142" s="14" t="n"/>
    </row>
    <row r="143" ht="15.75" customHeight="1" s="30">
      <c r="A143" s="14" t="n"/>
      <c r="B143" s="14" t="n"/>
      <c r="C143" s="14" t="n"/>
    </row>
    <row r="144" ht="15.75" customHeight="1" s="30">
      <c r="A144" s="14" t="n"/>
      <c r="B144" s="14" t="n"/>
      <c r="C144" s="14" t="n"/>
    </row>
    <row r="145" ht="15.75" customHeight="1" s="30">
      <c r="A145" s="14" t="n"/>
      <c r="B145" s="14" t="n"/>
      <c r="C145" s="14" t="n"/>
    </row>
    <row r="146" ht="15.75" customHeight="1" s="30">
      <c r="A146" s="14" t="n"/>
      <c r="B146" s="14" t="n"/>
      <c r="C146" s="14" t="n"/>
    </row>
    <row r="147" ht="15.75" customHeight="1" s="30">
      <c r="A147" s="14" t="n"/>
      <c r="B147" s="14" t="n"/>
      <c r="C147" s="14" t="n"/>
    </row>
    <row r="148" ht="15.75" customHeight="1" s="30">
      <c r="A148" s="14" t="n"/>
      <c r="B148" s="14" t="n"/>
      <c r="C148" s="14" t="n"/>
    </row>
    <row r="149" ht="15.75" customHeight="1" s="30">
      <c r="A149" s="14" t="n"/>
      <c r="B149" s="14" t="n"/>
      <c r="C149" s="14" t="n"/>
    </row>
    <row r="150" ht="15.75" customHeight="1" s="30">
      <c r="A150" s="14" t="n"/>
      <c r="B150" s="14" t="n"/>
      <c r="C150" s="14" t="n"/>
    </row>
    <row r="151" ht="15.75" customHeight="1" s="30">
      <c r="A151" s="14" t="n"/>
      <c r="B151" s="14" t="n"/>
      <c r="C151" s="14" t="n"/>
    </row>
    <row r="152" ht="15.75" customHeight="1" s="30">
      <c r="A152" s="14" t="n"/>
      <c r="B152" s="14" t="n"/>
      <c r="C152" s="14" t="n"/>
    </row>
    <row r="153" ht="15.75" customHeight="1" s="30">
      <c r="A153" s="14" t="n"/>
      <c r="B153" s="14" t="n"/>
      <c r="C153" s="14" t="n"/>
    </row>
    <row r="154" ht="15.75" customHeight="1" s="30">
      <c r="A154" s="14" t="n"/>
      <c r="B154" s="14" t="n"/>
      <c r="C154" s="14" t="n"/>
    </row>
    <row r="155" ht="15.75" customHeight="1" s="30">
      <c r="A155" s="14" t="n"/>
      <c r="B155" s="14" t="n"/>
      <c r="C155" s="14" t="n"/>
    </row>
    <row r="156" ht="15.75" customHeight="1" s="30">
      <c r="A156" s="14" t="n"/>
      <c r="B156" s="14" t="n"/>
      <c r="C156" s="14" t="n"/>
    </row>
    <row r="157" ht="15.75" customHeight="1" s="30">
      <c r="A157" s="14" t="n"/>
      <c r="B157" s="14" t="n"/>
      <c r="C157" s="14" t="n"/>
    </row>
    <row r="158" ht="15.75" customHeight="1" s="30">
      <c r="A158" s="14" t="n"/>
      <c r="B158" s="14" t="n"/>
      <c r="C158" s="14" t="n"/>
    </row>
    <row r="159" ht="15.75" customHeight="1" s="30">
      <c r="A159" s="14" t="n"/>
      <c r="B159" s="14" t="n"/>
      <c r="C159" s="14" t="n"/>
    </row>
    <row r="160" ht="15.75" customHeight="1" s="30">
      <c r="A160" s="14" t="n"/>
      <c r="B160" s="14" t="n"/>
      <c r="C160" s="14" t="n"/>
    </row>
    <row r="161" ht="15.75" customHeight="1" s="30">
      <c r="A161" s="14" t="n"/>
      <c r="B161" s="14" t="n"/>
      <c r="C161" s="14" t="n"/>
    </row>
    <row r="162" ht="15.75" customHeight="1" s="30">
      <c r="A162" s="14" t="n"/>
      <c r="B162" s="14" t="n"/>
      <c r="C162" s="14" t="n"/>
    </row>
    <row r="163" ht="15.75" customHeight="1" s="30">
      <c r="A163" s="14" t="n"/>
      <c r="B163" s="14" t="n"/>
      <c r="C163" s="14" t="n"/>
    </row>
    <row r="164" ht="15.75" customHeight="1" s="30">
      <c r="A164" s="14" t="n"/>
      <c r="B164" s="14" t="n"/>
      <c r="C164" s="14" t="n"/>
    </row>
    <row r="165" ht="15.75" customHeight="1" s="30">
      <c r="A165" s="14" t="n"/>
      <c r="B165" s="14" t="n"/>
      <c r="C165" s="14" t="n"/>
    </row>
    <row r="166" ht="15.75" customHeight="1" s="30">
      <c r="A166" s="14" t="n"/>
      <c r="B166" s="14" t="n"/>
      <c r="C166" s="14" t="n"/>
    </row>
    <row r="167" ht="15.75" customHeight="1" s="30">
      <c r="A167" s="14" t="n"/>
      <c r="B167" s="14" t="n"/>
      <c r="C167" s="14" t="n"/>
    </row>
    <row r="168" ht="15.75" customHeight="1" s="30">
      <c r="A168" s="14" t="n"/>
      <c r="B168" s="14" t="n"/>
      <c r="C168" s="14" t="n"/>
    </row>
    <row r="169" ht="15.75" customHeight="1" s="30">
      <c r="A169" s="14" t="n"/>
      <c r="B169" s="14" t="n"/>
      <c r="C169" s="14" t="n"/>
    </row>
    <row r="170" ht="15.75" customHeight="1" s="30">
      <c r="A170" s="14" t="n"/>
      <c r="B170" s="14" t="n"/>
      <c r="C170" s="14" t="n"/>
    </row>
    <row r="171" ht="15.75" customHeight="1" s="30">
      <c r="A171" s="14" t="n"/>
      <c r="B171" s="14" t="n"/>
      <c r="C171" s="14" t="n"/>
    </row>
    <row r="172" ht="15.75" customHeight="1" s="30">
      <c r="A172" s="14" t="n"/>
      <c r="B172" s="14" t="n"/>
      <c r="C172" s="14" t="n"/>
    </row>
    <row r="173" ht="15.75" customHeight="1" s="30">
      <c r="A173" s="14" t="n"/>
      <c r="B173" s="14" t="n"/>
      <c r="C173" s="14" t="n"/>
    </row>
    <row r="174" ht="15.75" customHeight="1" s="30">
      <c r="A174" s="14" t="n"/>
      <c r="B174" s="14" t="n"/>
      <c r="C174" s="14" t="n"/>
    </row>
    <row r="175" ht="15.75" customHeight="1" s="30">
      <c r="A175" s="14" t="n"/>
      <c r="B175" s="14" t="n"/>
      <c r="C175" s="14" t="n"/>
    </row>
    <row r="176" ht="15.75" customHeight="1" s="30">
      <c r="A176" s="14" t="n"/>
      <c r="B176" s="14" t="n"/>
      <c r="C176" s="14" t="n"/>
    </row>
    <row r="177" ht="15.75" customHeight="1" s="30">
      <c r="A177" s="14" t="n"/>
      <c r="B177" s="14" t="n"/>
      <c r="C177" s="14" t="n"/>
    </row>
    <row r="178" ht="15.75" customHeight="1" s="30">
      <c r="A178" s="14" t="n"/>
      <c r="B178" s="14" t="n"/>
      <c r="C178" s="14" t="n"/>
    </row>
    <row r="179" ht="15.75" customHeight="1" s="30">
      <c r="A179" s="14" t="n"/>
      <c r="B179" s="14" t="n"/>
      <c r="C179" s="14" t="n"/>
    </row>
    <row r="180" ht="15.75" customHeight="1" s="30">
      <c r="A180" s="14" t="n"/>
      <c r="B180" s="14" t="n"/>
      <c r="C180" s="14" t="n"/>
    </row>
    <row r="181" ht="15.75" customHeight="1" s="30">
      <c r="A181" s="14" t="n"/>
      <c r="B181" s="14" t="n"/>
      <c r="C181" s="14" t="n"/>
    </row>
    <row r="182" ht="15.75" customHeight="1" s="30">
      <c r="A182" s="14" t="n"/>
      <c r="B182" s="14" t="n"/>
      <c r="C182" s="14" t="n"/>
    </row>
    <row r="183" ht="15.75" customHeight="1" s="30">
      <c r="A183" s="14" t="n"/>
      <c r="B183" s="14" t="n"/>
      <c r="C183" s="14" t="n"/>
    </row>
    <row r="184" ht="15.75" customHeight="1" s="30">
      <c r="A184" s="14" t="n"/>
      <c r="B184" s="14" t="n"/>
      <c r="C184" s="14" t="n"/>
    </row>
    <row r="185" ht="15.75" customHeight="1" s="30">
      <c r="A185" s="14" t="n"/>
      <c r="B185" s="14" t="n"/>
      <c r="C185" s="14" t="n"/>
    </row>
    <row r="186" ht="15.75" customHeight="1" s="30">
      <c r="A186" s="14" t="n"/>
      <c r="B186" s="14" t="n"/>
      <c r="C186" s="14" t="n"/>
    </row>
    <row r="187" ht="15.75" customHeight="1" s="30">
      <c r="A187" s="14" t="n"/>
      <c r="B187" s="14" t="n"/>
      <c r="C187" s="14" t="n"/>
    </row>
    <row r="188" ht="15.75" customHeight="1" s="30">
      <c r="A188" s="14" t="n"/>
      <c r="B188" s="14" t="n"/>
      <c r="C188" s="14" t="n"/>
    </row>
    <row r="189" ht="15.75" customHeight="1" s="30">
      <c r="A189" s="14" t="n"/>
      <c r="B189" s="14" t="n"/>
      <c r="C189" s="14" t="n"/>
    </row>
    <row r="190" ht="15.75" customHeight="1" s="30">
      <c r="A190" s="14" t="n"/>
      <c r="B190" s="14" t="n"/>
      <c r="C190" s="14" t="n"/>
    </row>
    <row r="191" ht="15.75" customHeight="1" s="30">
      <c r="A191" s="14" t="n"/>
      <c r="B191" s="14" t="n"/>
      <c r="C191" s="14" t="n"/>
    </row>
    <row r="192" ht="15.75" customHeight="1" s="30">
      <c r="A192" s="14" t="n"/>
      <c r="B192" s="14" t="n"/>
      <c r="C192" s="14" t="n"/>
    </row>
    <row r="193" ht="15.75" customHeight="1" s="30">
      <c r="A193" s="14" t="n"/>
      <c r="B193" s="14" t="n"/>
      <c r="C193" s="14" t="n"/>
    </row>
    <row r="194" ht="15.75" customHeight="1" s="30">
      <c r="A194" s="14" t="n"/>
      <c r="B194" s="14" t="n"/>
      <c r="C194" s="14" t="n"/>
    </row>
    <row r="195" ht="15.75" customHeight="1" s="30">
      <c r="A195" s="14" t="n"/>
      <c r="B195" s="14" t="n"/>
      <c r="C195" s="14" t="n"/>
    </row>
    <row r="196" ht="15.75" customHeight="1" s="30">
      <c r="A196" s="14" t="n"/>
      <c r="B196" s="14" t="n"/>
      <c r="C196" s="14" t="n"/>
    </row>
    <row r="197" ht="15.75" customHeight="1" s="30">
      <c r="A197" s="14" t="n"/>
      <c r="B197" s="14" t="n"/>
      <c r="C197" s="14" t="n"/>
    </row>
    <row r="198" ht="15.75" customHeight="1" s="30">
      <c r="A198" s="14" t="n"/>
      <c r="B198" s="14" t="n"/>
      <c r="C198" s="14" t="n"/>
    </row>
    <row r="199" ht="15.75" customHeight="1" s="30">
      <c r="A199" s="14" t="n"/>
      <c r="B199" s="14" t="n"/>
      <c r="C199" s="14" t="n"/>
    </row>
    <row r="200" ht="15.75" customHeight="1" s="30">
      <c r="A200" s="14" t="n"/>
      <c r="B200" s="14" t="n"/>
      <c r="C200" s="14" t="n"/>
    </row>
    <row r="201" ht="15.75" customHeight="1" s="30">
      <c r="A201" s="14" t="n"/>
      <c r="B201" s="14" t="n"/>
      <c r="C201" s="14" t="n"/>
    </row>
    <row r="202" ht="15.75" customHeight="1" s="30">
      <c r="A202" s="14" t="n"/>
      <c r="B202" s="14" t="n"/>
      <c r="C202" s="14" t="n"/>
    </row>
    <row r="203" ht="15.75" customHeight="1" s="30">
      <c r="A203" s="14" t="n"/>
      <c r="B203" s="14" t="n"/>
      <c r="C203" s="14" t="n"/>
    </row>
    <row r="204" ht="15.75" customHeight="1" s="30">
      <c r="A204" s="14" t="n"/>
      <c r="B204" s="14" t="n"/>
      <c r="C204" s="14" t="n"/>
    </row>
    <row r="205" ht="15.75" customHeight="1" s="30">
      <c r="A205" s="14" t="n"/>
      <c r="B205" s="14" t="n"/>
      <c r="C205" s="14" t="n"/>
    </row>
    <row r="206" ht="15.75" customHeight="1" s="30">
      <c r="A206" s="14" t="n"/>
      <c r="B206" s="14" t="n"/>
      <c r="C206" s="14" t="n"/>
    </row>
    <row r="207" ht="15.75" customHeight="1" s="30">
      <c r="A207" s="14" t="n"/>
      <c r="B207" s="14" t="n"/>
      <c r="C207" s="14" t="n"/>
    </row>
    <row r="208" ht="15.75" customHeight="1" s="30">
      <c r="A208" s="14" t="n"/>
      <c r="B208" s="14" t="n"/>
      <c r="C208" s="14" t="n"/>
    </row>
    <row r="209" ht="15.75" customHeight="1" s="30">
      <c r="A209" s="14" t="n"/>
      <c r="B209" s="14" t="n"/>
      <c r="C209" s="14" t="n"/>
    </row>
    <row r="210" ht="15.75" customHeight="1" s="30">
      <c r="A210" s="14" t="n"/>
      <c r="B210" s="14" t="n"/>
      <c r="C210" s="14" t="n"/>
    </row>
    <row r="211" ht="15.75" customHeight="1" s="30">
      <c r="A211" s="14" t="n"/>
      <c r="B211" s="14" t="n"/>
      <c r="C211" s="14" t="n"/>
    </row>
    <row r="212" ht="15.75" customHeight="1" s="30">
      <c r="A212" s="14" t="n"/>
      <c r="B212" s="14" t="n"/>
      <c r="C212" s="14" t="n"/>
    </row>
    <row r="213" ht="15.75" customHeight="1" s="30">
      <c r="A213" s="14" t="n"/>
      <c r="B213" s="14" t="n"/>
      <c r="C213" s="14" t="n"/>
    </row>
    <row r="214" ht="15.75" customHeight="1" s="30">
      <c r="A214" s="14" t="n"/>
      <c r="B214" s="14" t="n"/>
      <c r="C214" s="14" t="n"/>
    </row>
    <row r="215" ht="15.75" customHeight="1" s="30">
      <c r="A215" s="14" t="n"/>
      <c r="B215" s="14" t="n"/>
      <c r="C215" s="14" t="n"/>
    </row>
    <row r="216" ht="15.75" customHeight="1" s="30">
      <c r="A216" s="14" t="n"/>
      <c r="B216" s="14" t="n"/>
      <c r="C216" s="14" t="n"/>
    </row>
    <row r="217" ht="15.75" customHeight="1" s="30">
      <c r="A217" s="14" t="n"/>
      <c r="B217" s="14" t="n"/>
      <c r="C217" s="14" t="n"/>
    </row>
    <row r="218" ht="15.75" customHeight="1" s="30">
      <c r="A218" s="14" t="n"/>
      <c r="B218" s="14" t="n"/>
      <c r="C218" s="14" t="n"/>
    </row>
    <row r="219" ht="15.75" customHeight="1" s="30">
      <c r="A219" s="14" t="n"/>
      <c r="B219" s="14" t="n"/>
      <c r="C219" s="14" t="n"/>
    </row>
    <row r="220" ht="15.75" customHeight="1" s="30">
      <c r="A220" s="14" t="n"/>
      <c r="B220" s="14" t="n"/>
      <c r="C220" s="14" t="n"/>
    </row>
    <row r="221" ht="15.75" customHeight="1" s="30">
      <c r="A221" s="14" t="n"/>
      <c r="B221" s="14" t="n"/>
      <c r="C221" s="14" t="n"/>
    </row>
    <row r="222" ht="15.75" customHeight="1" s="30">
      <c r="A222" s="14" t="n"/>
      <c r="B222" s="14" t="n"/>
      <c r="C222" s="14" t="n"/>
    </row>
    <row r="223" ht="15.75" customHeight="1" s="30">
      <c r="A223" s="14" t="n"/>
      <c r="B223" s="14" t="n"/>
      <c r="C223" s="14" t="n"/>
    </row>
    <row r="224" ht="15.75" customHeight="1" s="30">
      <c r="A224" s="14" t="n"/>
      <c r="B224" s="14" t="n"/>
      <c r="C224" s="14" t="n"/>
    </row>
    <row r="225" ht="15.75" customHeight="1" s="30">
      <c r="A225" s="14" t="n"/>
      <c r="B225" s="14" t="n"/>
      <c r="C225" s="14" t="n"/>
    </row>
    <row r="226" ht="15.75" customHeight="1" s="30">
      <c r="A226" s="14" t="n"/>
      <c r="B226" s="14" t="n"/>
      <c r="C226" s="14" t="n"/>
    </row>
    <row r="227" ht="15.75" customHeight="1" s="30">
      <c r="A227" s="14" t="n"/>
      <c r="B227" s="14" t="n"/>
      <c r="C227" s="14" t="n"/>
    </row>
    <row r="228" ht="15.75" customHeight="1" s="30">
      <c r="A228" s="14" t="n"/>
      <c r="B228" s="14" t="n"/>
      <c r="C228" s="14" t="n"/>
    </row>
    <row r="229" ht="15.75" customHeight="1" s="30">
      <c r="A229" s="14" t="n"/>
      <c r="B229" s="14" t="n"/>
      <c r="C229" s="14" t="n"/>
    </row>
    <row r="230" ht="15.75" customHeight="1" s="30">
      <c r="A230" s="14" t="n"/>
      <c r="B230" s="14" t="n"/>
      <c r="C230" s="14" t="n"/>
    </row>
    <row r="231" ht="15.75" customHeight="1" s="30">
      <c r="A231" s="14" t="n"/>
      <c r="B231" s="14" t="n"/>
      <c r="C231" s="14" t="n"/>
    </row>
    <row r="232" ht="15.75" customHeight="1" s="30">
      <c r="A232" s="14" t="n"/>
      <c r="B232" s="14" t="n"/>
      <c r="C232" s="14" t="n"/>
    </row>
    <row r="233" ht="15.75" customHeight="1" s="30">
      <c r="A233" s="14" t="n"/>
      <c r="B233" s="14" t="n"/>
      <c r="C233" s="14" t="n"/>
    </row>
    <row r="234" ht="15.75" customHeight="1" s="30">
      <c r="A234" s="14" t="n"/>
      <c r="B234" s="14" t="n"/>
      <c r="C234" s="14" t="n"/>
    </row>
    <row r="235" ht="15.75" customHeight="1" s="30">
      <c r="A235" s="14" t="n"/>
      <c r="B235" s="14" t="n"/>
      <c r="C235" s="14" t="n"/>
    </row>
    <row r="236" ht="15.75" customHeight="1" s="30">
      <c r="A236" s="14" t="n"/>
      <c r="B236" s="14" t="n"/>
      <c r="C236" s="14" t="n"/>
    </row>
    <row r="237" ht="15.75" customHeight="1" s="30">
      <c r="A237" s="14" t="n"/>
      <c r="B237" s="14" t="n"/>
      <c r="C237" s="14" t="n"/>
    </row>
    <row r="238" ht="15.75" customHeight="1" s="30">
      <c r="A238" s="14" t="n"/>
      <c r="B238" s="14" t="n"/>
      <c r="C238" s="14" t="n"/>
    </row>
    <row r="239" ht="15.75" customHeight="1" s="30">
      <c r="A239" s="14" t="n"/>
      <c r="B239" s="14" t="n"/>
      <c r="C239" s="14" t="n"/>
    </row>
    <row r="240" ht="15.75" customHeight="1" s="30">
      <c r="A240" s="14" t="n"/>
      <c r="B240" s="14" t="n"/>
      <c r="C240" s="14" t="n"/>
    </row>
    <row r="241" ht="15.75" customHeight="1" s="30">
      <c r="A241" s="14" t="n"/>
      <c r="B241" s="14" t="n"/>
      <c r="C241" s="14" t="n"/>
    </row>
    <row r="242" ht="15.75" customHeight="1" s="30">
      <c r="A242" s="14" t="n"/>
      <c r="B242" s="14" t="n"/>
      <c r="C242" s="14" t="n"/>
    </row>
    <row r="243" ht="15.75" customHeight="1" s="30">
      <c r="A243" s="14" t="n"/>
      <c r="B243" s="14" t="n"/>
      <c r="C243" s="14" t="n"/>
    </row>
    <row r="244" ht="15.75" customHeight="1" s="30">
      <c r="A244" s="14" t="n"/>
      <c r="B244" s="14" t="n"/>
      <c r="C244" s="14" t="n"/>
    </row>
    <row r="245" ht="15.75" customHeight="1" s="30">
      <c r="A245" s="14" t="n"/>
      <c r="B245" s="14" t="n"/>
      <c r="C245" s="14" t="n"/>
    </row>
    <row r="246" ht="15.75" customHeight="1" s="30">
      <c r="A246" s="14" t="n"/>
      <c r="B246" s="14" t="n"/>
      <c r="C246" s="14" t="n"/>
    </row>
    <row r="247" ht="15.75" customHeight="1" s="30">
      <c r="A247" s="14" t="n"/>
      <c r="B247" s="14" t="n"/>
      <c r="C247" s="14" t="n"/>
    </row>
    <row r="248" ht="15.75" customHeight="1" s="30">
      <c r="A248" s="14" t="n"/>
      <c r="B248" s="14" t="n"/>
      <c r="C248" s="14" t="n"/>
    </row>
    <row r="249" ht="15.75" customHeight="1" s="30">
      <c r="A249" s="14" t="n"/>
      <c r="B249" s="14" t="n"/>
      <c r="C249" s="14" t="n"/>
    </row>
    <row r="250" ht="15.75" customHeight="1" s="30">
      <c r="A250" s="14" t="n"/>
      <c r="B250" s="14" t="n"/>
      <c r="C250" s="14" t="n"/>
    </row>
    <row r="251" ht="15.75" customHeight="1" s="30">
      <c r="A251" s="14" t="n"/>
      <c r="B251" s="14" t="n"/>
      <c r="C251" s="14" t="n"/>
    </row>
    <row r="252" ht="15.75" customHeight="1" s="30">
      <c r="A252" s="14" t="n"/>
      <c r="B252" s="14" t="n"/>
      <c r="C252" s="14" t="n"/>
    </row>
    <row r="253" ht="15.75" customHeight="1" s="30">
      <c r="A253" s="14" t="n"/>
      <c r="B253" s="14" t="n"/>
      <c r="C253" s="14" t="n"/>
    </row>
    <row r="254" ht="15.75" customHeight="1" s="30">
      <c r="A254" s="14" t="n"/>
      <c r="B254" s="14" t="n"/>
      <c r="C254" s="14" t="n"/>
    </row>
    <row r="255" ht="15.75" customHeight="1" s="30">
      <c r="A255" s="14" t="n"/>
      <c r="B255" s="14" t="n"/>
      <c r="C255" s="14" t="n"/>
    </row>
    <row r="256" ht="15.75" customHeight="1" s="30">
      <c r="A256" s="14" t="n"/>
      <c r="B256" s="14" t="n"/>
      <c r="C256" s="14" t="n"/>
    </row>
    <row r="257" ht="15.75" customHeight="1" s="30">
      <c r="A257" s="14" t="n"/>
      <c r="B257" s="14" t="n"/>
      <c r="C257" s="14" t="n"/>
    </row>
    <row r="258" ht="15.75" customHeight="1" s="30">
      <c r="A258" s="14" t="n"/>
      <c r="B258" s="14" t="n"/>
      <c r="C258" s="14" t="n"/>
    </row>
    <row r="259" ht="15.75" customHeight="1" s="30">
      <c r="A259" s="14" t="n"/>
      <c r="B259" s="14" t="n"/>
      <c r="C259" s="14" t="n"/>
    </row>
    <row r="260" ht="15.75" customHeight="1" s="30">
      <c r="A260" s="14" t="n"/>
      <c r="B260" s="14" t="n"/>
      <c r="C260" s="14" t="n"/>
    </row>
    <row r="261" ht="15.75" customHeight="1" s="30">
      <c r="A261" s="14" t="n"/>
      <c r="B261" s="14" t="n"/>
      <c r="C261" s="14" t="n"/>
    </row>
    <row r="262" ht="15.75" customHeight="1" s="30">
      <c r="A262" s="14" t="n"/>
      <c r="B262" s="14" t="n"/>
      <c r="C262" s="14" t="n"/>
    </row>
    <row r="263" ht="15.75" customHeight="1" s="30">
      <c r="A263" s="14" t="n"/>
      <c r="B263" s="14" t="n"/>
      <c r="C263" s="14" t="n"/>
    </row>
    <row r="264" ht="15.75" customHeight="1" s="30">
      <c r="A264" s="14" t="n"/>
      <c r="B264" s="14" t="n"/>
      <c r="C264" s="14" t="n"/>
    </row>
    <row r="265" ht="15.75" customHeight="1" s="30">
      <c r="A265" s="14" t="n"/>
      <c r="B265" s="14" t="n"/>
      <c r="C265" s="14" t="n"/>
    </row>
    <row r="266" ht="15.75" customHeight="1" s="30">
      <c r="A266" s="14" t="n"/>
      <c r="B266" s="14" t="n"/>
      <c r="C266" s="14" t="n"/>
    </row>
    <row r="267" ht="15.75" customHeight="1" s="30">
      <c r="A267" s="14" t="n"/>
      <c r="B267" s="14" t="n"/>
      <c r="C267" s="14" t="n"/>
    </row>
    <row r="268" ht="15.75" customHeight="1" s="30">
      <c r="A268" s="14" t="n"/>
      <c r="B268" s="14" t="n"/>
      <c r="C268" s="14" t="n"/>
    </row>
    <row r="269" ht="15.75" customHeight="1" s="30">
      <c r="A269" s="14" t="n"/>
      <c r="B269" s="14" t="n"/>
      <c r="C269" s="14" t="n"/>
    </row>
    <row r="270" ht="15.75" customHeight="1" s="30">
      <c r="A270" s="14" t="n"/>
      <c r="B270" s="14" t="n"/>
      <c r="C270" s="14" t="n"/>
    </row>
    <row r="271" ht="15.75" customHeight="1" s="30">
      <c r="A271" s="14" t="n"/>
      <c r="B271" s="14" t="n"/>
      <c r="C271" s="14" t="n"/>
    </row>
    <row r="272" ht="15.75" customHeight="1" s="30">
      <c r="A272" s="14" t="n"/>
      <c r="B272" s="14" t="n"/>
      <c r="C272" s="14" t="n"/>
    </row>
    <row r="273" ht="15.75" customHeight="1" s="30">
      <c r="A273" s="14" t="n"/>
      <c r="B273" s="14" t="n"/>
      <c r="C273" s="14" t="n"/>
    </row>
    <row r="274" ht="15.75" customHeight="1" s="30">
      <c r="A274" s="14" t="n"/>
      <c r="B274" s="14" t="n"/>
      <c r="C274" s="14" t="n"/>
    </row>
    <row r="275" ht="15.75" customHeight="1" s="30">
      <c r="A275" s="14" t="n"/>
      <c r="B275" s="14" t="n"/>
      <c r="C275" s="14" t="n"/>
    </row>
    <row r="276" ht="15.75" customHeight="1" s="30">
      <c r="A276" s="14" t="n"/>
      <c r="B276" s="14" t="n"/>
      <c r="C276" s="14" t="n"/>
    </row>
    <row r="277" ht="15.75" customHeight="1" s="30">
      <c r="A277" s="14" t="n"/>
      <c r="B277" s="14" t="n"/>
      <c r="C277" s="14" t="n"/>
    </row>
    <row r="278" ht="15.75" customHeight="1" s="30">
      <c r="A278" s="14" t="n"/>
      <c r="B278" s="14" t="n"/>
      <c r="C278" s="14" t="n"/>
    </row>
    <row r="279" ht="15.75" customHeight="1" s="30">
      <c r="A279" s="14" t="n"/>
      <c r="B279" s="14" t="n"/>
      <c r="C279" s="14" t="n"/>
    </row>
    <row r="280" ht="15.75" customHeight="1" s="30">
      <c r="A280" s="14" t="n"/>
      <c r="B280" s="14" t="n"/>
      <c r="C280" s="14" t="n"/>
    </row>
    <row r="281" ht="15.75" customHeight="1" s="30">
      <c r="A281" s="14" t="n"/>
      <c r="B281" s="14" t="n"/>
      <c r="C281" s="14" t="n"/>
    </row>
    <row r="282" ht="15.75" customHeight="1" s="30">
      <c r="A282" s="14" t="n"/>
      <c r="B282" s="14" t="n"/>
      <c r="C282" s="14" t="n"/>
    </row>
    <row r="283" ht="15.75" customHeight="1" s="30">
      <c r="A283" s="14" t="n"/>
      <c r="B283" s="14" t="n"/>
      <c r="C283" s="14" t="n"/>
    </row>
    <row r="284" ht="15.75" customHeight="1" s="30">
      <c r="A284" s="14" t="n"/>
      <c r="B284" s="14" t="n"/>
      <c r="C284" s="14" t="n"/>
    </row>
    <row r="285" ht="15.75" customHeight="1" s="30">
      <c r="A285" s="14" t="n"/>
      <c r="B285" s="14" t="n"/>
      <c r="C285" s="14" t="n"/>
    </row>
    <row r="286" ht="15.75" customHeight="1" s="30">
      <c r="A286" s="14" t="n"/>
      <c r="B286" s="14" t="n"/>
      <c r="C286" s="14" t="n"/>
    </row>
    <row r="287" ht="15.75" customHeight="1" s="30">
      <c r="A287" s="14" t="n"/>
      <c r="B287" s="14" t="n"/>
      <c r="C287" s="14" t="n"/>
    </row>
    <row r="288" ht="15.75" customHeight="1" s="30">
      <c r="A288" s="14" t="n"/>
      <c r="B288" s="14" t="n"/>
      <c r="C288" s="14" t="n"/>
    </row>
    <row r="289" ht="15.75" customHeight="1" s="30">
      <c r="A289" s="14" t="n"/>
      <c r="B289" s="14" t="n"/>
      <c r="C289" s="14" t="n"/>
    </row>
    <row r="290" ht="15.75" customHeight="1" s="30">
      <c r="A290" s="14" t="n"/>
      <c r="B290" s="14" t="n"/>
      <c r="C290" s="14" t="n"/>
    </row>
    <row r="291" ht="15.75" customHeight="1" s="30">
      <c r="A291" s="14" t="n"/>
      <c r="B291" s="14" t="n"/>
      <c r="C291" s="14" t="n"/>
    </row>
    <row r="292" ht="15.75" customHeight="1" s="30">
      <c r="A292" s="14" t="n"/>
      <c r="B292" s="14" t="n"/>
      <c r="C292" s="14" t="n"/>
    </row>
    <row r="293" ht="15.75" customHeight="1" s="30">
      <c r="A293" s="14" t="n"/>
      <c r="B293" s="14" t="n"/>
      <c r="C293" s="14" t="n"/>
    </row>
    <row r="294" ht="15.75" customHeight="1" s="30">
      <c r="A294" s="14" t="n"/>
      <c r="B294" s="14" t="n"/>
      <c r="C294" s="14" t="n"/>
    </row>
    <row r="295" ht="15.75" customHeight="1" s="30">
      <c r="A295" s="14" t="n"/>
      <c r="B295" s="14" t="n"/>
      <c r="C295" s="14" t="n"/>
    </row>
    <row r="296" ht="15.75" customHeight="1" s="30">
      <c r="A296" s="14" t="n"/>
      <c r="B296" s="14" t="n"/>
      <c r="C296" s="14" t="n"/>
    </row>
    <row r="297" ht="15.75" customHeight="1" s="30">
      <c r="A297" s="14" t="n"/>
      <c r="B297" s="14" t="n"/>
      <c r="C297" s="14" t="n"/>
    </row>
    <row r="298" ht="15.75" customHeight="1" s="30">
      <c r="A298" s="14" t="n"/>
      <c r="B298" s="14" t="n"/>
      <c r="C298" s="14" t="n"/>
    </row>
    <row r="299" ht="15.75" customHeight="1" s="30">
      <c r="A299" s="14" t="n"/>
      <c r="B299" s="14" t="n"/>
      <c r="C299" s="14" t="n"/>
    </row>
    <row r="300" ht="15.75" customHeight="1" s="30">
      <c r="A300" s="14" t="n"/>
      <c r="B300" s="14" t="n"/>
      <c r="C300" s="14" t="n"/>
    </row>
    <row r="301" ht="15.75" customHeight="1" s="30">
      <c r="A301" s="14" t="n"/>
      <c r="B301" s="14" t="n"/>
      <c r="C301" s="14" t="n"/>
    </row>
    <row r="302" ht="15.75" customHeight="1" s="30">
      <c r="A302" s="14" t="n"/>
      <c r="B302" s="14" t="n"/>
      <c r="C302" s="14" t="n"/>
    </row>
    <row r="303" ht="15.75" customHeight="1" s="30">
      <c r="A303" s="14" t="n"/>
      <c r="B303" s="14" t="n"/>
      <c r="C303" s="14" t="n"/>
    </row>
    <row r="304" ht="15.75" customHeight="1" s="30">
      <c r="A304" s="14" t="n"/>
      <c r="B304" s="14" t="n"/>
      <c r="C304" s="14" t="n"/>
    </row>
    <row r="305" ht="15.75" customHeight="1" s="30">
      <c r="A305" s="14" t="n"/>
      <c r="B305" s="14" t="n"/>
      <c r="C305" s="14" t="n"/>
    </row>
    <row r="306" ht="15.75" customHeight="1" s="30">
      <c r="A306" s="14" t="n"/>
      <c r="B306" s="14" t="n"/>
      <c r="C306" s="14" t="n"/>
    </row>
    <row r="307" ht="15.75" customHeight="1" s="30">
      <c r="A307" s="14" t="n"/>
      <c r="B307" s="14" t="n"/>
      <c r="C307" s="14" t="n"/>
    </row>
    <row r="308" ht="15.75" customHeight="1" s="30">
      <c r="A308" s="14" t="n"/>
      <c r="B308" s="14" t="n"/>
      <c r="C308" s="14" t="n"/>
    </row>
    <row r="309" ht="15.75" customHeight="1" s="30">
      <c r="A309" s="14" t="n"/>
      <c r="B309" s="14" t="n"/>
      <c r="C309" s="14" t="n"/>
    </row>
    <row r="310" ht="15.75" customHeight="1" s="30">
      <c r="A310" s="14" t="n"/>
      <c r="B310" s="14" t="n"/>
      <c r="C310" s="14" t="n"/>
    </row>
    <row r="311" ht="15.75" customHeight="1" s="30">
      <c r="A311" s="14" t="n"/>
      <c r="B311" s="14" t="n"/>
      <c r="C311" s="14" t="n"/>
    </row>
    <row r="312" ht="15.75" customHeight="1" s="30">
      <c r="A312" s="14" t="n"/>
      <c r="B312" s="14" t="n"/>
      <c r="C312" s="14" t="n"/>
    </row>
    <row r="313" ht="15.75" customHeight="1" s="30">
      <c r="A313" s="14" t="n"/>
      <c r="B313" s="14" t="n"/>
      <c r="C313" s="14" t="n"/>
    </row>
    <row r="314" ht="15.75" customHeight="1" s="30">
      <c r="A314" s="14" t="n"/>
      <c r="B314" s="14" t="n"/>
      <c r="C314" s="14" t="n"/>
    </row>
    <row r="315" ht="15.75" customHeight="1" s="30">
      <c r="A315" s="14" t="n"/>
      <c r="B315" s="14" t="n"/>
      <c r="C315" s="14" t="n"/>
    </row>
    <row r="316" ht="15.75" customHeight="1" s="30">
      <c r="A316" s="14" t="n"/>
      <c r="B316" s="14" t="n"/>
      <c r="C316" s="14" t="n"/>
    </row>
    <row r="317" ht="15.75" customHeight="1" s="30">
      <c r="A317" s="14" t="n"/>
      <c r="B317" s="14" t="n"/>
      <c r="C317" s="14" t="n"/>
    </row>
    <row r="318" ht="15.75" customHeight="1" s="30">
      <c r="A318" s="14" t="n"/>
      <c r="B318" s="14" t="n"/>
      <c r="C318" s="14" t="n"/>
    </row>
    <row r="319" ht="15.75" customHeight="1" s="30">
      <c r="A319" s="14" t="n"/>
      <c r="B319" s="14" t="n"/>
      <c r="C319" s="14" t="n"/>
    </row>
    <row r="320" ht="15.75" customHeight="1" s="30">
      <c r="A320" s="14" t="n"/>
      <c r="B320" s="14" t="n"/>
      <c r="C320" s="14" t="n"/>
    </row>
    <row r="321" ht="15.75" customHeight="1" s="30">
      <c r="A321" s="14" t="n"/>
      <c r="B321" s="14" t="n"/>
      <c r="C321" s="14" t="n"/>
    </row>
    <row r="322" ht="15.75" customHeight="1" s="30">
      <c r="A322" s="14" t="n"/>
      <c r="B322" s="14" t="n"/>
      <c r="C322" s="14" t="n"/>
    </row>
    <row r="323" ht="15.75" customHeight="1" s="30">
      <c r="A323" s="14" t="n"/>
      <c r="B323" s="14" t="n"/>
      <c r="C323" s="14" t="n"/>
    </row>
    <row r="324" ht="15.75" customHeight="1" s="30">
      <c r="A324" s="14" t="n"/>
      <c r="B324" s="14" t="n"/>
      <c r="C324" s="14" t="n"/>
    </row>
    <row r="325" ht="15.75" customHeight="1" s="30">
      <c r="A325" s="14" t="n"/>
      <c r="B325" s="14" t="n"/>
      <c r="C325" s="14" t="n"/>
    </row>
    <row r="326" ht="15.75" customHeight="1" s="30">
      <c r="A326" s="14" t="n"/>
      <c r="B326" s="14" t="n"/>
      <c r="C326" s="14" t="n"/>
    </row>
    <row r="327" ht="15.75" customHeight="1" s="30">
      <c r="A327" s="14" t="n"/>
      <c r="B327" s="14" t="n"/>
      <c r="C327" s="14" t="n"/>
    </row>
    <row r="328" ht="15.75" customHeight="1" s="30">
      <c r="A328" s="14" t="n"/>
      <c r="B328" s="14" t="n"/>
      <c r="C328" s="14" t="n"/>
    </row>
    <row r="329" ht="15.75" customHeight="1" s="30">
      <c r="A329" s="14" t="n"/>
      <c r="B329" s="14" t="n"/>
      <c r="C329" s="14" t="n"/>
    </row>
    <row r="330" ht="15.75" customHeight="1" s="30">
      <c r="A330" s="14" t="n"/>
      <c r="B330" s="14" t="n"/>
      <c r="C330" s="14" t="n"/>
    </row>
    <row r="331" ht="15.75" customHeight="1" s="30">
      <c r="A331" s="14" t="n"/>
      <c r="B331" s="14" t="n"/>
      <c r="C331" s="14" t="n"/>
    </row>
    <row r="332" ht="15.75" customHeight="1" s="30">
      <c r="A332" s="14" t="n"/>
      <c r="B332" s="14" t="n"/>
      <c r="C332" s="14" t="n"/>
    </row>
    <row r="333" ht="15.75" customHeight="1" s="30">
      <c r="A333" s="14" t="n"/>
      <c r="B333" s="14" t="n"/>
      <c r="C333" s="14" t="n"/>
    </row>
    <row r="334" ht="15.75" customHeight="1" s="30">
      <c r="A334" s="14" t="n"/>
      <c r="B334" s="14" t="n"/>
      <c r="C334" s="14" t="n"/>
    </row>
    <row r="335" ht="15.75" customHeight="1" s="30">
      <c r="A335" s="14" t="n"/>
      <c r="B335" s="14" t="n"/>
      <c r="C335" s="14" t="n"/>
    </row>
    <row r="336" ht="15.75" customHeight="1" s="30">
      <c r="A336" s="14" t="n"/>
      <c r="B336" s="14" t="n"/>
      <c r="C336" s="14" t="n"/>
    </row>
    <row r="337" ht="15.75" customHeight="1" s="30">
      <c r="A337" s="14" t="n"/>
      <c r="B337" s="14" t="n"/>
      <c r="C337" s="14" t="n"/>
    </row>
    <row r="338" ht="15.75" customHeight="1" s="30">
      <c r="A338" s="14" t="n"/>
      <c r="B338" s="14" t="n"/>
      <c r="C338" s="14" t="n"/>
    </row>
    <row r="339" ht="15.75" customHeight="1" s="30">
      <c r="A339" s="14" t="n"/>
      <c r="B339" s="14" t="n"/>
      <c r="C339" s="14" t="n"/>
    </row>
    <row r="340" ht="15.75" customHeight="1" s="30">
      <c r="A340" s="14" t="n"/>
      <c r="B340" s="14" t="n"/>
      <c r="C340" s="14" t="n"/>
    </row>
    <row r="341" ht="15.75" customHeight="1" s="30">
      <c r="A341" s="14" t="n"/>
      <c r="B341" s="14" t="n"/>
      <c r="C341" s="14" t="n"/>
    </row>
    <row r="342" ht="15.75" customHeight="1" s="30">
      <c r="A342" s="14" t="n"/>
      <c r="B342" s="14" t="n"/>
      <c r="C342" s="14" t="n"/>
    </row>
    <row r="343" ht="15.75" customHeight="1" s="30">
      <c r="A343" s="14" t="n"/>
      <c r="B343" s="14" t="n"/>
      <c r="C343" s="14" t="n"/>
    </row>
    <row r="344" ht="15.75" customHeight="1" s="30">
      <c r="A344" s="14" t="n"/>
      <c r="B344" s="14" t="n"/>
      <c r="C344" s="14" t="n"/>
    </row>
    <row r="345" ht="15.75" customHeight="1" s="30">
      <c r="A345" s="14" t="n"/>
      <c r="B345" s="14" t="n"/>
      <c r="C345" s="14" t="n"/>
    </row>
    <row r="346" ht="15.75" customHeight="1" s="30">
      <c r="A346" s="14" t="n"/>
      <c r="B346" s="14" t="n"/>
      <c r="C346" s="14" t="n"/>
    </row>
    <row r="347" ht="15.75" customHeight="1" s="30">
      <c r="A347" s="14" t="n"/>
      <c r="B347" s="14" t="n"/>
      <c r="C347" s="14" t="n"/>
    </row>
    <row r="348" ht="15.75" customHeight="1" s="30">
      <c r="A348" s="14" t="n"/>
      <c r="B348" s="14" t="n"/>
      <c r="C348" s="14" t="n"/>
    </row>
    <row r="349" ht="15.75" customHeight="1" s="30">
      <c r="A349" s="14" t="n"/>
      <c r="B349" s="14" t="n"/>
      <c r="C349" s="14" t="n"/>
    </row>
    <row r="350" ht="15.75" customHeight="1" s="30">
      <c r="A350" s="14" t="n"/>
      <c r="B350" s="14" t="n"/>
      <c r="C350" s="14" t="n"/>
    </row>
    <row r="351" ht="15.75" customHeight="1" s="30">
      <c r="A351" s="14" t="n"/>
      <c r="B351" s="14" t="n"/>
      <c r="C351" s="14" t="n"/>
    </row>
    <row r="352" ht="15.75" customHeight="1" s="30">
      <c r="A352" s="14" t="n"/>
      <c r="B352" s="14" t="n"/>
      <c r="C352" s="14" t="n"/>
    </row>
    <row r="353" ht="15.75" customHeight="1" s="30">
      <c r="A353" s="14" t="n"/>
      <c r="B353" s="14" t="n"/>
      <c r="C353" s="14" t="n"/>
    </row>
    <row r="354" ht="15.75" customHeight="1" s="30">
      <c r="A354" s="14" t="n"/>
      <c r="B354" s="14" t="n"/>
      <c r="C354" s="14" t="n"/>
    </row>
    <row r="355" ht="15.75" customHeight="1" s="30">
      <c r="A355" s="14" t="n"/>
      <c r="B355" s="14" t="n"/>
      <c r="C355" s="14" t="n"/>
    </row>
    <row r="356" ht="15.75" customHeight="1" s="30">
      <c r="A356" s="14" t="n"/>
      <c r="B356" s="14" t="n"/>
      <c r="C356" s="14" t="n"/>
    </row>
    <row r="357" ht="15.75" customHeight="1" s="30">
      <c r="A357" s="14" t="n"/>
      <c r="B357" s="14" t="n"/>
      <c r="C357" s="14" t="n"/>
    </row>
    <row r="358" ht="15.75" customHeight="1" s="30">
      <c r="A358" s="14" t="n"/>
      <c r="B358" s="14" t="n"/>
      <c r="C358" s="14" t="n"/>
    </row>
    <row r="359" ht="15.75" customHeight="1" s="30">
      <c r="A359" s="14" t="n"/>
      <c r="B359" s="14" t="n"/>
      <c r="C359" s="14" t="n"/>
    </row>
    <row r="360" ht="15.75" customHeight="1" s="30">
      <c r="A360" s="14" t="n"/>
      <c r="B360" s="14" t="n"/>
      <c r="C360" s="14" t="n"/>
    </row>
    <row r="361" ht="15.75" customHeight="1" s="30">
      <c r="A361" s="14" t="n"/>
      <c r="B361" s="14" t="n"/>
      <c r="C361" s="14" t="n"/>
    </row>
    <row r="362" ht="15.75" customHeight="1" s="30">
      <c r="A362" s="14" t="n"/>
      <c r="B362" s="14" t="n"/>
      <c r="C362" s="14" t="n"/>
    </row>
    <row r="363" ht="15.75" customHeight="1" s="30">
      <c r="A363" s="14" t="n"/>
      <c r="B363" s="14" t="n"/>
      <c r="C363" s="14" t="n"/>
    </row>
    <row r="364" ht="15.75" customHeight="1" s="30">
      <c r="A364" s="14" t="n"/>
      <c r="B364" s="14" t="n"/>
      <c r="C364" s="14" t="n"/>
    </row>
    <row r="365" ht="15.75" customHeight="1" s="30">
      <c r="A365" s="14" t="n"/>
      <c r="B365" s="14" t="n"/>
      <c r="C365" s="14" t="n"/>
    </row>
    <row r="366" ht="15.75" customHeight="1" s="30">
      <c r="A366" s="14" t="n"/>
      <c r="B366" s="14" t="n"/>
      <c r="C366" s="14" t="n"/>
    </row>
    <row r="367" ht="15.75" customHeight="1" s="30">
      <c r="A367" s="14" t="n"/>
      <c r="B367" s="14" t="n"/>
      <c r="C367" s="14" t="n"/>
    </row>
    <row r="368" ht="15.75" customHeight="1" s="30">
      <c r="A368" s="14" t="n"/>
      <c r="B368" s="14" t="n"/>
      <c r="C368" s="14" t="n"/>
    </row>
    <row r="369" ht="15.75" customHeight="1" s="30">
      <c r="A369" s="14" t="n"/>
      <c r="B369" s="14" t="n"/>
      <c r="C369" s="14" t="n"/>
    </row>
    <row r="370" ht="15.75" customHeight="1" s="30">
      <c r="A370" s="14" t="n"/>
      <c r="B370" s="14" t="n"/>
      <c r="C370" s="14" t="n"/>
    </row>
    <row r="371" ht="15.75" customHeight="1" s="30">
      <c r="A371" s="14" t="n"/>
      <c r="B371" s="14" t="n"/>
      <c r="C371" s="14" t="n"/>
    </row>
    <row r="372" ht="15.75" customHeight="1" s="30">
      <c r="A372" s="14" t="n"/>
      <c r="B372" s="14" t="n"/>
      <c r="C372" s="14" t="n"/>
    </row>
    <row r="373" ht="15.75" customHeight="1" s="30">
      <c r="A373" s="14" t="n"/>
      <c r="B373" s="14" t="n"/>
      <c r="C373" s="14" t="n"/>
    </row>
    <row r="374" ht="15.75" customHeight="1" s="30">
      <c r="A374" s="14" t="n"/>
      <c r="B374" s="14" t="n"/>
      <c r="C374" s="14" t="n"/>
    </row>
    <row r="375" ht="15.75" customHeight="1" s="30">
      <c r="A375" s="14" t="n"/>
      <c r="B375" s="14" t="n"/>
      <c r="C375" s="14" t="n"/>
    </row>
    <row r="376" ht="15.75" customHeight="1" s="30">
      <c r="A376" s="14" t="n"/>
      <c r="B376" s="14" t="n"/>
      <c r="C376" s="14" t="n"/>
    </row>
    <row r="377" ht="15.75" customHeight="1" s="30">
      <c r="A377" s="14" t="n"/>
      <c r="B377" s="14" t="n"/>
      <c r="C377" s="14" t="n"/>
    </row>
    <row r="378" ht="15.75" customHeight="1" s="30">
      <c r="A378" s="14" t="n"/>
      <c r="B378" s="14" t="n"/>
      <c r="C378" s="14" t="n"/>
    </row>
    <row r="379" ht="15.75" customHeight="1" s="30">
      <c r="A379" s="14" t="n"/>
      <c r="B379" s="14" t="n"/>
      <c r="C379" s="14" t="n"/>
    </row>
    <row r="380" ht="15.75" customHeight="1" s="30">
      <c r="A380" s="14" t="n"/>
      <c r="B380" s="14" t="n"/>
      <c r="C380" s="14" t="n"/>
    </row>
    <row r="381" ht="15.75" customHeight="1" s="30">
      <c r="A381" s="14" t="n"/>
      <c r="B381" s="14" t="n"/>
      <c r="C381" s="14" t="n"/>
    </row>
    <row r="382" ht="15.75" customHeight="1" s="30">
      <c r="A382" s="14" t="n"/>
      <c r="B382" s="14" t="n"/>
      <c r="C382" s="14" t="n"/>
    </row>
    <row r="383" ht="15.75" customHeight="1" s="30">
      <c r="A383" s="14" t="n"/>
      <c r="B383" s="14" t="n"/>
      <c r="C383" s="14" t="n"/>
    </row>
    <row r="384" ht="15.75" customHeight="1" s="30">
      <c r="A384" s="14" t="n"/>
      <c r="B384" s="14" t="n"/>
      <c r="C384" s="14" t="n"/>
    </row>
    <row r="385" ht="15.75" customHeight="1" s="30">
      <c r="A385" s="14" t="n"/>
      <c r="B385" s="14" t="n"/>
      <c r="C385" s="14" t="n"/>
    </row>
    <row r="386" ht="15.75" customHeight="1" s="30">
      <c r="A386" s="14" t="n"/>
      <c r="B386" s="14" t="n"/>
      <c r="C386" s="14" t="n"/>
    </row>
    <row r="387" ht="15.75" customHeight="1" s="30">
      <c r="A387" s="14" t="n"/>
      <c r="B387" s="14" t="n"/>
      <c r="C387" s="14" t="n"/>
    </row>
    <row r="388" ht="15.75" customHeight="1" s="30">
      <c r="A388" s="14" t="n"/>
      <c r="B388" s="14" t="n"/>
      <c r="C388" s="14" t="n"/>
    </row>
    <row r="389" ht="15.75" customHeight="1" s="30">
      <c r="A389" s="14" t="n"/>
      <c r="B389" s="14" t="n"/>
      <c r="C389" s="14" t="n"/>
    </row>
    <row r="390" ht="15.75" customHeight="1" s="30">
      <c r="A390" s="14" t="n"/>
      <c r="B390" s="14" t="n"/>
      <c r="C390" s="14" t="n"/>
    </row>
    <row r="391" ht="15.75" customHeight="1" s="30">
      <c r="A391" s="14" t="n"/>
      <c r="B391" s="14" t="n"/>
      <c r="C391" s="14" t="n"/>
    </row>
    <row r="392" ht="15.75" customHeight="1" s="30">
      <c r="A392" s="14" t="n"/>
      <c r="B392" s="14" t="n"/>
      <c r="C392" s="14" t="n"/>
    </row>
    <row r="393" ht="15.75" customHeight="1" s="30">
      <c r="A393" s="14" t="n"/>
      <c r="B393" s="14" t="n"/>
      <c r="C393" s="14" t="n"/>
    </row>
    <row r="394" ht="15.75" customHeight="1" s="30">
      <c r="A394" s="14" t="n"/>
      <c r="B394" s="14" t="n"/>
      <c r="C394" s="14" t="n"/>
    </row>
    <row r="395" ht="15.75" customHeight="1" s="30">
      <c r="A395" s="14" t="n"/>
      <c r="B395" s="14" t="n"/>
      <c r="C395" s="14" t="n"/>
    </row>
    <row r="396" ht="15.75" customHeight="1" s="30">
      <c r="A396" s="14" t="n"/>
      <c r="B396" s="14" t="n"/>
      <c r="C396" s="14" t="n"/>
    </row>
    <row r="397" ht="15.75" customHeight="1" s="30">
      <c r="A397" s="14" t="n"/>
      <c r="B397" s="14" t="n"/>
      <c r="C397" s="14" t="n"/>
    </row>
    <row r="398" ht="15.75" customHeight="1" s="30">
      <c r="A398" s="14" t="n"/>
      <c r="B398" s="14" t="n"/>
      <c r="C398" s="14" t="n"/>
    </row>
    <row r="399" ht="15.75" customHeight="1" s="30">
      <c r="A399" s="14" t="n"/>
      <c r="B399" s="14" t="n"/>
      <c r="C399" s="14" t="n"/>
    </row>
    <row r="400" ht="15.75" customHeight="1" s="30">
      <c r="A400" s="14" t="n"/>
      <c r="B400" s="14" t="n"/>
      <c r="C400" s="14" t="n"/>
    </row>
    <row r="401" ht="15.75" customHeight="1" s="30">
      <c r="A401" s="14" t="n"/>
      <c r="B401" s="14" t="n"/>
      <c r="C401" s="14" t="n"/>
    </row>
    <row r="402" ht="15.75" customHeight="1" s="30">
      <c r="A402" s="14" t="n"/>
      <c r="B402" s="14" t="n"/>
      <c r="C402" s="14" t="n"/>
    </row>
    <row r="403" ht="15.75" customHeight="1" s="30">
      <c r="A403" s="14" t="n"/>
      <c r="B403" s="14" t="n"/>
      <c r="C403" s="14" t="n"/>
    </row>
    <row r="404" ht="15.75" customHeight="1" s="30">
      <c r="A404" s="14" t="n"/>
      <c r="B404" s="14" t="n"/>
      <c r="C404" s="14" t="n"/>
    </row>
    <row r="405" ht="15.75" customHeight="1" s="30">
      <c r="A405" s="14" t="n"/>
      <c r="B405" s="14" t="n"/>
      <c r="C405" s="14" t="n"/>
    </row>
    <row r="406" ht="15.75" customHeight="1" s="30">
      <c r="A406" s="14" t="n"/>
      <c r="B406" s="14" t="n"/>
      <c r="C406" s="14" t="n"/>
    </row>
    <row r="407" ht="15.75" customHeight="1" s="30">
      <c r="A407" s="14" t="n"/>
      <c r="B407" s="14" t="n"/>
      <c r="C407" s="14" t="n"/>
    </row>
    <row r="408" ht="15.75" customHeight="1" s="30">
      <c r="A408" s="14" t="n"/>
      <c r="B408" s="14" t="n"/>
      <c r="C408" s="14" t="n"/>
    </row>
    <row r="409" ht="15.75" customHeight="1" s="30">
      <c r="A409" s="14" t="n"/>
      <c r="B409" s="14" t="n"/>
      <c r="C409" s="14" t="n"/>
    </row>
    <row r="410" ht="15.75" customHeight="1" s="30">
      <c r="A410" s="14" t="n"/>
      <c r="B410" s="14" t="n"/>
      <c r="C410" s="14" t="n"/>
    </row>
    <row r="411" ht="15.75" customHeight="1" s="30">
      <c r="A411" s="14" t="n"/>
      <c r="B411" s="14" t="n"/>
      <c r="C411" s="14" t="n"/>
    </row>
    <row r="412" ht="15.75" customHeight="1" s="30">
      <c r="A412" s="14" t="n"/>
      <c r="B412" s="14" t="n"/>
      <c r="C412" s="14" t="n"/>
    </row>
    <row r="413" ht="15.75" customHeight="1" s="30">
      <c r="A413" s="14" t="n"/>
      <c r="B413" s="14" t="n"/>
      <c r="C413" s="14" t="n"/>
    </row>
    <row r="414" ht="15.75" customHeight="1" s="30">
      <c r="A414" s="14" t="n"/>
      <c r="B414" s="14" t="n"/>
      <c r="C414" s="14" t="n"/>
    </row>
    <row r="415" ht="15.75" customHeight="1" s="30">
      <c r="A415" s="14" t="n"/>
      <c r="B415" s="14" t="n"/>
      <c r="C415" s="14" t="n"/>
    </row>
    <row r="416" ht="15.75" customHeight="1" s="30">
      <c r="A416" s="14" t="n"/>
      <c r="B416" s="14" t="n"/>
      <c r="C416" s="14" t="n"/>
    </row>
    <row r="417" ht="15.75" customHeight="1" s="30">
      <c r="A417" s="14" t="n"/>
      <c r="B417" s="14" t="n"/>
      <c r="C417" s="14" t="n"/>
    </row>
    <row r="418" ht="15.75" customHeight="1" s="30">
      <c r="A418" s="14" t="n"/>
      <c r="B418" s="14" t="n"/>
      <c r="C418" s="14" t="n"/>
    </row>
    <row r="419" ht="15.75" customHeight="1" s="30">
      <c r="A419" s="14" t="n"/>
      <c r="B419" s="14" t="n"/>
      <c r="C419" s="14" t="n"/>
    </row>
    <row r="420" ht="15.75" customHeight="1" s="30">
      <c r="A420" s="14" t="n"/>
      <c r="B420" s="14" t="n"/>
      <c r="C420" s="14" t="n"/>
    </row>
    <row r="421" ht="15.75" customHeight="1" s="30">
      <c r="A421" s="14" t="n"/>
      <c r="B421" s="14" t="n"/>
      <c r="C421" s="14" t="n"/>
    </row>
    <row r="422" ht="15.75" customHeight="1" s="30">
      <c r="A422" s="14" t="n"/>
      <c r="B422" s="14" t="n"/>
      <c r="C422" s="14" t="n"/>
    </row>
    <row r="423" ht="15.75" customHeight="1" s="30">
      <c r="A423" s="14" t="n"/>
      <c r="B423" s="14" t="n"/>
      <c r="C423" s="14" t="n"/>
    </row>
    <row r="424" ht="15.75" customHeight="1" s="30">
      <c r="A424" s="14" t="n"/>
      <c r="B424" s="14" t="n"/>
      <c r="C424" s="14" t="n"/>
    </row>
    <row r="425" ht="15.75" customHeight="1" s="30">
      <c r="A425" s="14" t="n"/>
      <c r="B425" s="14" t="n"/>
      <c r="C425" s="14" t="n"/>
    </row>
    <row r="426" ht="15.75" customHeight="1" s="30">
      <c r="A426" s="14" t="n"/>
      <c r="B426" s="14" t="n"/>
      <c r="C426" s="14" t="n"/>
    </row>
    <row r="427" ht="15.75" customHeight="1" s="30">
      <c r="A427" s="14" t="n"/>
      <c r="B427" s="14" t="n"/>
      <c r="C427" s="14" t="n"/>
    </row>
    <row r="428" ht="15.75" customHeight="1" s="30">
      <c r="A428" s="14" t="n"/>
      <c r="B428" s="14" t="n"/>
      <c r="C428" s="14" t="n"/>
    </row>
    <row r="429" ht="15.75" customHeight="1" s="30">
      <c r="A429" s="14" t="n"/>
      <c r="B429" s="14" t="n"/>
      <c r="C429" s="14" t="n"/>
    </row>
    <row r="430" ht="15.75" customHeight="1" s="30">
      <c r="A430" s="14" t="n"/>
      <c r="B430" s="14" t="n"/>
      <c r="C430" s="14" t="n"/>
    </row>
    <row r="431" ht="15.75" customHeight="1" s="30">
      <c r="A431" s="14" t="n"/>
      <c r="B431" s="14" t="n"/>
      <c r="C431" s="14" t="n"/>
    </row>
    <row r="432" ht="15.75" customHeight="1" s="30">
      <c r="A432" s="14" t="n"/>
      <c r="B432" s="14" t="n"/>
      <c r="C432" s="14" t="n"/>
    </row>
    <row r="433" ht="15.75" customHeight="1" s="30">
      <c r="A433" s="14" t="n"/>
      <c r="B433" s="14" t="n"/>
      <c r="C433" s="14" t="n"/>
    </row>
    <row r="434" ht="15.75" customHeight="1" s="30">
      <c r="A434" s="14" t="n"/>
      <c r="B434" s="14" t="n"/>
      <c r="C434" s="14" t="n"/>
    </row>
    <row r="435" ht="15.75" customHeight="1" s="30">
      <c r="A435" s="14" t="n"/>
      <c r="B435" s="14" t="n"/>
      <c r="C435" s="14" t="n"/>
    </row>
    <row r="436" ht="15.75" customHeight="1" s="30">
      <c r="A436" s="14" t="n"/>
      <c r="B436" s="14" t="n"/>
      <c r="C436" s="14" t="n"/>
    </row>
    <row r="437" ht="15.75" customHeight="1" s="30">
      <c r="A437" s="14" t="n"/>
      <c r="B437" s="14" t="n"/>
      <c r="C437" s="14" t="n"/>
    </row>
    <row r="438" ht="15.75" customHeight="1" s="30">
      <c r="A438" s="14" t="n"/>
      <c r="B438" s="14" t="n"/>
      <c r="C438" s="14" t="n"/>
    </row>
    <row r="439" ht="15.75" customHeight="1" s="30">
      <c r="A439" s="14" t="n"/>
      <c r="B439" s="14" t="n"/>
      <c r="C439" s="14" t="n"/>
    </row>
    <row r="440" ht="15.75" customHeight="1" s="30">
      <c r="A440" s="14" t="n"/>
      <c r="B440" s="14" t="n"/>
      <c r="C440" s="14" t="n"/>
    </row>
    <row r="441" ht="15.75" customHeight="1" s="30">
      <c r="A441" s="14" t="n"/>
      <c r="B441" s="14" t="n"/>
      <c r="C441" s="14" t="n"/>
    </row>
    <row r="442" ht="15.75" customHeight="1" s="30">
      <c r="A442" s="14" t="n"/>
      <c r="B442" s="14" t="n"/>
      <c r="C442" s="14" t="n"/>
    </row>
    <row r="443" ht="15.75" customHeight="1" s="30">
      <c r="A443" s="14" t="n"/>
      <c r="B443" s="14" t="n"/>
      <c r="C443" s="14" t="n"/>
    </row>
    <row r="444" ht="15.75" customHeight="1" s="30">
      <c r="A444" s="14" t="n"/>
      <c r="B444" s="14" t="n"/>
      <c r="C444" s="14" t="n"/>
    </row>
    <row r="445" ht="15.75" customHeight="1" s="30">
      <c r="A445" s="14" t="n"/>
      <c r="B445" s="14" t="n"/>
      <c r="C445" s="14" t="n"/>
    </row>
    <row r="446" ht="15.75" customHeight="1" s="30">
      <c r="A446" s="14" t="n"/>
      <c r="B446" s="14" t="n"/>
      <c r="C446" s="14" t="n"/>
    </row>
    <row r="447" ht="15.75" customHeight="1" s="30">
      <c r="A447" s="14" t="n"/>
      <c r="B447" s="14" t="n"/>
      <c r="C447" s="14" t="n"/>
    </row>
    <row r="448" ht="15.75" customHeight="1" s="30">
      <c r="A448" s="14" t="n"/>
      <c r="B448" s="14" t="n"/>
      <c r="C448" s="14" t="n"/>
    </row>
    <row r="449" ht="15.75" customHeight="1" s="30">
      <c r="A449" s="14" t="n"/>
      <c r="B449" s="14" t="n"/>
      <c r="C449" s="14" t="n"/>
    </row>
    <row r="450" ht="15.75" customHeight="1" s="30">
      <c r="A450" s="14" t="n"/>
      <c r="B450" s="14" t="n"/>
      <c r="C450" s="14" t="n"/>
    </row>
    <row r="451" ht="15.75" customHeight="1" s="30">
      <c r="A451" s="14" t="n"/>
      <c r="B451" s="14" t="n"/>
      <c r="C451" s="14" t="n"/>
    </row>
    <row r="452" ht="15.75" customHeight="1" s="30">
      <c r="A452" s="14" t="n"/>
      <c r="B452" s="14" t="n"/>
      <c r="C452" s="14" t="n"/>
    </row>
    <row r="453" ht="15.75" customHeight="1" s="30">
      <c r="A453" s="14" t="n"/>
      <c r="B453" s="14" t="n"/>
      <c r="C453" s="14" t="n"/>
    </row>
    <row r="454" ht="15.75" customHeight="1" s="30">
      <c r="A454" s="14" t="n"/>
      <c r="B454" s="14" t="n"/>
      <c r="C454" s="14" t="n"/>
    </row>
    <row r="455" ht="15.75" customHeight="1" s="30">
      <c r="A455" s="14" t="n"/>
      <c r="B455" s="14" t="n"/>
      <c r="C455" s="14" t="n"/>
    </row>
    <row r="456" ht="15.75" customHeight="1" s="30">
      <c r="A456" s="14" t="n"/>
      <c r="B456" s="14" t="n"/>
      <c r="C456" s="14" t="n"/>
    </row>
    <row r="457" ht="15.75" customHeight="1" s="30">
      <c r="A457" s="14" t="n"/>
      <c r="B457" s="14" t="n"/>
      <c r="C457" s="14" t="n"/>
    </row>
    <row r="458" ht="15.75" customHeight="1" s="30">
      <c r="A458" s="14" t="n"/>
      <c r="B458" s="14" t="n"/>
      <c r="C458" s="14" t="n"/>
    </row>
    <row r="459" ht="15.75" customHeight="1" s="30">
      <c r="A459" s="14" t="n"/>
      <c r="B459" s="14" t="n"/>
      <c r="C459" s="14" t="n"/>
    </row>
    <row r="460" ht="15.75" customHeight="1" s="30">
      <c r="A460" s="14" t="n"/>
      <c r="B460" s="14" t="n"/>
      <c r="C460" s="14" t="n"/>
    </row>
    <row r="461" ht="15.75" customHeight="1" s="30">
      <c r="A461" s="14" t="n"/>
      <c r="B461" s="14" t="n"/>
      <c r="C461" s="14" t="n"/>
    </row>
    <row r="462" ht="15.75" customHeight="1" s="30">
      <c r="A462" s="14" t="n"/>
      <c r="B462" s="14" t="n"/>
      <c r="C462" s="14" t="n"/>
    </row>
    <row r="463" ht="15.75" customHeight="1" s="30">
      <c r="A463" s="14" t="n"/>
      <c r="B463" s="14" t="n"/>
      <c r="C463" s="14" t="n"/>
    </row>
    <row r="464" ht="15.75" customHeight="1" s="30">
      <c r="A464" s="14" t="n"/>
      <c r="B464" s="14" t="n"/>
      <c r="C464" s="14" t="n"/>
    </row>
    <row r="465" ht="15.75" customHeight="1" s="30">
      <c r="A465" s="14" t="n"/>
      <c r="B465" s="14" t="n"/>
      <c r="C465" s="14" t="n"/>
    </row>
    <row r="466" ht="15.75" customHeight="1" s="30">
      <c r="A466" s="14" t="n"/>
      <c r="B466" s="14" t="n"/>
      <c r="C466" s="14" t="n"/>
    </row>
    <row r="467" ht="15.75" customHeight="1" s="30">
      <c r="A467" s="14" t="n"/>
      <c r="B467" s="14" t="n"/>
      <c r="C467" s="14" t="n"/>
    </row>
    <row r="468" ht="15.75" customHeight="1" s="30">
      <c r="A468" s="14" t="n"/>
      <c r="B468" s="14" t="n"/>
      <c r="C468" s="14" t="n"/>
    </row>
    <row r="469" ht="15.75" customHeight="1" s="30">
      <c r="A469" s="14" t="n"/>
      <c r="B469" s="14" t="n"/>
      <c r="C469" s="14" t="n"/>
    </row>
    <row r="470" ht="15.75" customHeight="1" s="30">
      <c r="A470" s="14" t="n"/>
      <c r="B470" s="14" t="n"/>
      <c r="C470" s="14" t="n"/>
    </row>
    <row r="471" ht="15.75" customHeight="1" s="30">
      <c r="A471" s="14" t="n"/>
      <c r="B471" s="14" t="n"/>
      <c r="C471" s="14" t="n"/>
    </row>
    <row r="472" ht="15.75" customHeight="1" s="30">
      <c r="A472" s="14" t="n"/>
      <c r="B472" s="14" t="n"/>
      <c r="C472" s="14" t="n"/>
    </row>
    <row r="473" ht="15.75" customHeight="1" s="30">
      <c r="A473" s="14" t="n"/>
      <c r="B473" s="14" t="n"/>
      <c r="C473" s="14" t="n"/>
    </row>
    <row r="474" ht="15.75" customHeight="1" s="30">
      <c r="A474" s="14" t="n"/>
      <c r="B474" s="14" t="n"/>
      <c r="C474" s="14" t="n"/>
    </row>
    <row r="475" ht="15.75" customHeight="1" s="30">
      <c r="A475" s="14" t="n"/>
      <c r="B475" s="14" t="n"/>
      <c r="C475" s="14" t="n"/>
    </row>
    <row r="476" ht="15.75" customHeight="1" s="30">
      <c r="A476" s="14" t="n"/>
      <c r="B476" s="14" t="n"/>
      <c r="C476" s="14" t="n"/>
    </row>
    <row r="477" ht="15.75" customHeight="1" s="30">
      <c r="A477" s="14" t="n"/>
      <c r="B477" s="14" t="n"/>
      <c r="C477" s="14" t="n"/>
    </row>
    <row r="478" ht="15.75" customHeight="1" s="30">
      <c r="A478" s="14" t="n"/>
      <c r="B478" s="14" t="n"/>
      <c r="C478" s="14" t="n"/>
    </row>
    <row r="479" ht="15.75" customHeight="1" s="30">
      <c r="A479" s="14" t="n"/>
      <c r="B479" s="14" t="n"/>
      <c r="C479" s="14" t="n"/>
    </row>
    <row r="480" ht="15.75" customHeight="1" s="30">
      <c r="A480" s="14" t="n"/>
      <c r="B480" s="14" t="n"/>
      <c r="C480" s="14" t="n"/>
    </row>
    <row r="481" ht="15.75" customHeight="1" s="30">
      <c r="A481" s="14" t="n"/>
      <c r="B481" s="14" t="n"/>
      <c r="C481" s="14" t="n"/>
    </row>
    <row r="482" ht="15.75" customHeight="1" s="30">
      <c r="A482" s="14" t="n"/>
      <c r="B482" s="14" t="n"/>
      <c r="C482" s="14" t="n"/>
    </row>
    <row r="483" ht="15.75" customHeight="1" s="30">
      <c r="A483" s="14" t="n"/>
      <c r="B483" s="14" t="n"/>
      <c r="C483" s="14" t="n"/>
    </row>
    <row r="484" ht="15.75" customHeight="1" s="30">
      <c r="A484" s="14" t="n"/>
      <c r="B484" s="14" t="n"/>
      <c r="C484" s="14" t="n"/>
    </row>
    <row r="485" ht="15.75" customHeight="1" s="30">
      <c r="A485" s="14" t="n"/>
      <c r="B485" s="14" t="n"/>
      <c r="C485" s="14" t="n"/>
    </row>
    <row r="486" ht="15.75" customHeight="1" s="30">
      <c r="A486" s="14" t="n"/>
      <c r="B486" s="14" t="n"/>
      <c r="C486" s="14" t="n"/>
    </row>
    <row r="487" ht="15.75" customHeight="1" s="30">
      <c r="A487" s="14" t="n"/>
      <c r="B487" s="14" t="n"/>
      <c r="C487" s="14" t="n"/>
    </row>
    <row r="488" ht="15.75" customHeight="1" s="30">
      <c r="A488" s="14" t="n"/>
      <c r="B488" s="14" t="n"/>
      <c r="C488" s="14" t="n"/>
    </row>
    <row r="489" ht="15.75" customHeight="1" s="30">
      <c r="A489" s="14" t="n"/>
      <c r="B489" s="14" t="n"/>
      <c r="C489" s="14" t="n"/>
    </row>
    <row r="490" ht="15.75" customHeight="1" s="30">
      <c r="A490" s="14" t="n"/>
      <c r="B490" s="14" t="n"/>
      <c r="C490" s="14" t="n"/>
    </row>
    <row r="491" ht="15.75" customHeight="1" s="30">
      <c r="A491" s="14" t="n"/>
      <c r="B491" s="14" t="n"/>
      <c r="C491" s="14" t="n"/>
    </row>
    <row r="492" ht="15.75" customHeight="1" s="30">
      <c r="A492" s="14" t="n"/>
      <c r="B492" s="14" t="n"/>
      <c r="C492" s="14" t="n"/>
    </row>
    <row r="493" ht="15.75" customHeight="1" s="30">
      <c r="A493" s="14" t="n"/>
      <c r="B493" s="14" t="n"/>
      <c r="C493" s="14" t="n"/>
    </row>
    <row r="494" ht="15.75" customHeight="1" s="30">
      <c r="A494" s="14" t="n"/>
      <c r="B494" s="14" t="n"/>
      <c r="C494" s="14" t="n"/>
    </row>
    <row r="495" ht="15.75" customHeight="1" s="30">
      <c r="A495" s="14" t="n"/>
      <c r="B495" s="14" t="n"/>
      <c r="C495" s="14" t="n"/>
    </row>
    <row r="496" ht="15.75" customHeight="1" s="30">
      <c r="A496" s="14" t="n"/>
      <c r="B496" s="14" t="n"/>
      <c r="C496" s="14" t="n"/>
    </row>
    <row r="497" ht="15.75" customHeight="1" s="30">
      <c r="A497" s="14" t="n"/>
      <c r="B497" s="14" t="n"/>
      <c r="C497" s="14" t="n"/>
    </row>
    <row r="498" ht="15.75" customHeight="1" s="30">
      <c r="A498" s="14" t="n"/>
      <c r="B498" s="14" t="n"/>
      <c r="C498" s="14" t="n"/>
    </row>
    <row r="499" ht="15.75" customHeight="1" s="30">
      <c r="A499" s="14" t="n"/>
      <c r="B499" s="14" t="n"/>
      <c r="C499" s="14" t="n"/>
    </row>
    <row r="500" ht="15.75" customHeight="1" s="30">
      <c r="A500" s="14" t="n"/>
      <c r="B500" s="14" t="n"/>
      <c r="C500" s="14" t="n"/>
    </row>
    <row r="501" ht="15.75" customHeight="1" s="30">
      <c r="A501" s="14" t="n"/>
      <c r="B501" s="14" t="n"/>
      <c r="C501" s="14" t="n"/>
    </row>
    <row r="502" ht="15.75" customHeight="1" s="30">
      <c r="A502" s="14" t="n"/>
      <c r="B502" s="14" t="n"/>
      <c r="C502" s="14" t="n"/>
    </row>
    <row r="503" ht="15.75" customHeight="1" s="30">
      <c r="A503" s="14" t="n"/>
      <c r="B503" s="14" t="n"/>
      <c r="C503" s="14" t="n"/>
    </row>
    <row r="504" ht="15.75" customHeight="1" s="30">
      <c r="A504" s="14" t="n"/>
      <c r="B504" s="14" t="n"/>
      <c r="C504" s="14" t="n"/>
    </row>
    <row r="505" ht="15.75" customHeight="1" s="30">
      <c r="A505" s="14" t="n"/>
      <c r="B505" s="14" t="n"/>
      <c r="C505" s="14" t="n"/>
    </row>
    <row r="506" ht="15.75" customHeight="1" s="30">
      <c r="A506" s="14" t="n"/>
      <c r="B506" s="14" t="n"/>
      <c r="C506" s="14" t="n"/>
    </row>
    <row r="507" ht="15.75" customHeight="1" s="30">
      <c r="A507" s="14" t="n"/>
      <c r="B507" s="14" t="n"/>
      <c r="C507" s="14" t="n"/>
    </row>
    <row r="508" ht="15.75" customHeight="1" s="30">
      <c r="A508" s="14" t="n"/>
      <c r="B508" s="14" t="n"/>
      <c r="C508" s="14" t="n"/>
    </row>
    <row r="509" ht="15.75" customHeight="1" s="30">
      <c r="A509" s="14" t="n"/>
      <c r="B509" s="14" t="n"/>
      <c r="C509" s="14" t="n"/>
    </row>
    <row r="510" ht="15.75" customHeight="1" s="30">
      <c r="A510" s="14" t="n"/>
      <c r="B510" s="14" t="n"/>
      <c r="C510" s="14" t="n"/>
    </row>
    <row r="511" ht="15.75" customHeight="1" s="30">
      <c r="A511" s="14" t="n"/>
      <c r="B511" s="14" t="n"/>
      <c r="C511" s="14" t="n"/>
    </row>
    <row r="512" ht="15.75" customHeight="1" s="30">
      <c r="A512" s="14" t="n"/>
      <c r="B512" s="14" t="n"/>
      <c r="C512" s="14" t="n"/>
    </row>
    <row r="513" ht="15.75" customHeight="1" s="30">
      <c r="A513" s="14" t="n"/>
      <c r="B513" s="14" t="n"/>
      <c r="C513" s="14" t="n"/>
    </row>
    <row r="514" ht="15.75" customHeight="1" s="30">
      <c r="A514" s="14" t="n"/>
      <c r="B514" s="14" t="n"/>
      <c r="C514" s="14" t="n"/>
    </row>
    <row r="515" ht="15.75" customHeight="1" s="30">
      <c r="A515" s="14" t="n"/>
      <c r="B515" s="14" t="n"/>
      <c r="C515" s="14" t="n"/>
    </row>
    <row r="516" ht="15.75" customHeight="1" s="30">
      <c r="A516" s="14" t="n"/>
      <c r="B516" s="14" t="n"/>
      <c r="C516" s="14" t="n"/>
    </row>
    <row r="517" ht="15.75" customHeight="1" s="30">
      <c r="A517" s="14" t="n"/>
      <c r="B517" s="14" t="n"/>
      <c r="C517" s="14" t="n"/>
    </row>
    <row r="518" ht="15.75" customHeight="1" s="30">
      <c r="A518" s="14" t="n"/>
      <c r="B518" s="14" t="n"/>
      <c r="C518" s="14" t="n"/>
    </row>
    <row r="519" ht="15.75" customHeight="1" s="30">
      <c r="A519" s="14" t="n"/>
      <c r="B519" s="14" t="n"/>
      <c r="C519" s="14" t="n"/>
    </row>
    <row r="520" ht="15.75" customHeight="1" s="30">
      <c r="A520" s="14" t="n"/>
      <c r="B520" s="14" t="n"/>
      <c r="C520" s="14" t="n"/>
    </row>
    <row r="521" ht="15.75" customHeight="1" s="30">
      <c r="A521" s="14" t="n"/>
      <c r="B521" s="14" t="n"/>
      <c r="C521" s="14" t="n"/>
    </row>
    <row r="522" ht="15.75" customHeight="1" s="30">
      <c r="A522" s="14" t="n"/>
      <c r="B522" s="14" t="n"/>
      <c r="C522" s="14" t="n"/>
    </row>
    <row r="523" ht="15.75" customHeight="1" s="30">
      <c r="A523" s="14" t="n"/>
      <c r="B523" s="14" t="n"/>
      <c r="C523" s="14" t="n"/>
    </row>
    <row r="524" ht="15.75" customHeight="1" s="30">
      <c r="A524" s="14" t="n"/>
      <c r="B524" s="14" t="n"/>
      <c r="C524" s="14" t="n"/>
    </row>
    <row r="525" ht="15.75" customHeight="1" s="30">
      <c r="A525" s="14" t="n"/>
      <c r="B525" s="14" t="n"/>
      <c r="C525" s="14" t="n"/>
    </row>
    <row r="526" ht="15.75" customHeight="1" s="30">
      <c r="A526" s="14" t="n"/>
      <c r="B526" s="14" t="n"/>
      <c r="C526" s="14" t="n"/>
    </row>
    <row r="527" ht="15.75" customHeight="1" s="30">
      <c r="A527" s="14" t="n"/>
      <c r="B527" s="14" t="n"/>
      <c r="C527" s="14" t="n"/>
    </row>
    <row r="528" ht="15.75" customHeight="1" s="30">
      <c r="A528" s="14" t="n"/>
      <c r="B528" s="14" t="n"/>
      <c r="C528" s="14" t="n"/>
    </row>
    <row r="529" ht="15.75" customHeight="1" s="30">
      <c r="A529" s="14" t="n"/>
      <c r="B529" s="14" t="n"/>
      <c r="C529" s="14" t="n"/>
    </row>
    <row r="530" ht="15.75" customHeight="1" s="30">
      <c r="A530" s="14" t="n"/>
      <c r="B530" s="14" t="n"/>
      <c r="C530" s="14" t="n"/>
    </row>
    <row r="531" ht="15.75" customHeight="1" s="30">
      <c r="A531" s="14" t="n"/>
      <c r="B531" s="14" t="n"/>
      <c r="C531" s="14" t="n"/>
    </row>
    <row r="532" ht="15.75" customHeight="1" s="30">
      <c r="A532" s="14" t="n"/>
      <c r="B532" s="14" t="n"/>
      <c r="C532" s="14" t="n"/>
    </row>
    <row r="533" ht="15.75" customHeight="1" s="30">
      <c r="A533" s="14" t="n"/>
      <c r="B533" s="14" t="n"/>
      <c r="C533" s="14" t="n"/>
    </row>
    <row r="534" ht="15.75" customHeight="1" s="30">
      <c r="A534" s="14" t="n"/>
      <c r="B534" s="14" t="n"/>
      <c r="C534" s="14" t="n"/>
    </row>
    <row r="535" ht="15.75" customHeight="1" s="30">
      <c r="A535" s="14" t="n"/>
      <c r="B535" s="14" t="n"/>
      <c r="C535" s="14" t="n"/>
    </row>
    <row r="536" ht="15.75" customHeight="1" s="30">
      <c r="A536" s="14" t="n"/>
      <c r="B536" s="14" t="n"/>
      <c r="C536" s="14" t="n"/>
    </row>
    <row r="537" ht="15.75" customHeight="1" s="30">
      <c r="A537" s="14" t="n"/>
      <c r="B537" s="14" t="n"/>
      <c r="C537" s="14" t="n"/>
    </row>
    <row r="538" ht="15.75" customHeight="1" s="30">
      <c r="A538" s="14" t="n"/>
      <c r="B538" s="14" t="n"/>
      <c r="C538" s="14" t="n"/>
    </row>
    <row r="539" ht="15.75" customHeight="1" s="30">
      <c r="A539" s="14" t="n"/>
      <c r="B539" s="14" t="n"/>
      <c r="C539" s="14" t="n"/>
    </row>
    <row r="540" ht="15.75" customHeight="1" s="30">
      <c r="A540" s="14" t="n"/>
      <c r="B540" s="14" t="n"/>
      <c r="C540" s="14" t="n"/>
    </row>
    <row r="541" ht="15.75" customHeight="1" s="30">
      <c r="A541" s="14" t="n"/>
      <c r="B541" s="14" t="n"/>
      <c r="C541" s="14" t="n"/>
    </row>
    <row r="542" ht="15.75" customHeight="1" s="30">
      <c r="A542" s="14" t="n"/>
      <c r="B542" s="14" t="n"/>
      <c r="C542" s="14" t="n"/>
    </row>
    <row r="543" ht="15.75" customHeight="1" s="30">
      <c r="A543" s="14" t="n"/>
      <c r="B543" s="14" t="n"/>
      <c r="C543" s="14" t="n"/>
    </row>
    <row r="544" ht="15.75" customHeight="1" s="30">
      <c r="A544" s="14" t="n"/>
      <c r="B544" s="14" t="n"/>
      <c r="C544" s="14" t="n"/>
    </row>
    <row r="545" ht="15.75" customHeight="1" s="30">
      <c r="A545" s="14" t="n"/>
      <c r="B545" s="14" t="n"/>
      <c r="C545" s="14" t="n"/>
    </row>
    <row r="546" ht="15.75" customHeight="1" s="30">
      <c r="A546" s="14" t="n"/>
      <c r="B546" s="14" t="n"/>
      <c r="C546" s="14" t="n"/>
    </row>
    <row r="547" ht="15.75" customHeight="1" s="30">
      <c r="A547" s="14" t="n"/>
      <c r="B547" s="14" t="n"/>
      <c r="C547" s="14" t="n"/>
    </row>
    <row r="548" ht="15.75" customHeight="1" s="30">
      <c r="A548" s="14" t="n"/>
      <c r="B548" s="14" t="n"/>
      <c r="C548" s="14" t="n"/>
    </row>
    <row r="549" ht="15.75" customHeight="1" s="30">
      <c r="A549" s="14" t="n"/>
      <c r="B549" s="14" t="n"/>
      <c r="C549" s="14" t="n"/>
    </row>
    <row r="550" ht="15.75" customHeight="1" s="30">
      <c r="A550" s="14" t="n"/>
      <c r="B550" s="14" t="n"/>
      <c r="C550" s="14" t="n"/>
    </row>
    <row r="551" ht="15.75" customHeight="1" s="30">
      <c r="A551" s="14" t="n"/>
      <c r="B551" s="14" t="n"/>
      <c r="C551" s="14" t="n"/>
    </row>
    <row r="552" ht="15.75" customHeight="1" s="30">
      <c r="A552" s="14" t="n"/>
      <c r="B552" s="14" t="n"/>
      <c r="C552" s="14" t="n"/>
    </row>
    <row r="553" ht="15.75" customHeight="1" s="30">
      <c r="A553" s="14" t="n"/>
      <c r="B553" s="14" t="n"/>
      <c r="C553" s="14" t="n"/>
    </row>
    <row r="554" ht="15.75" customHeight="1" s="30">
      <c r="A554" s="14" t="n"/>
      <c r="B554" s="14" t="n"/>
      <c r="C554" s="14" t="n"/>
    </row>
    <row r="555" ht="15.75" customHeight="1" s="30">
      <c r="A555" s="14" t="n"/>
      <c r="B555" s="14" t="n"/>
      <c r="C555" s="14" t="n"/>
    </row>
    <row r="556" ht="15.75" customHeight="1" s="30">
      <c r="A556" s="14" t="n"/>
      <c r="B556" s="14" t="n"/>
      <c r="C556" s="14" t="n"/>
    </row>
    <row r="557" ht="15.75" customHeight="1" s="30">
      <c r="A557" s="14" t="n"/>
      <c r="B557" s="14" t="n"/>
      <c r="C557" s="14" t="n"/>
    </row>
    <row r="558" ht="15.75" customHeight="1" s="30">
      <c r="A558" s="14" t="n"/>
      <c r="B558" s="14" t="n"/>
      <c r="C558" s="14" t="n"/>
    </row>
    <row r="559" ht="15.75" customHeight="1" s="30">
      <c r="A559" s="14" t="n"/>
      <c r="B559" s="14" t="n"/>
      <c r="C559" s="14" t="n"/>
    </row>
    <row r="560" ht="15.75" customHeight="1" s="30">
      <c r="A560" s="14" t="n"/>
      <c r="B560" s="14" t="n"/>
      <c r="C560" s="14" t="n"/>
    </row>
    <row r="561" ht="15.75" customHeight="1" s="30">
      <c r="A561" s="14" t="n"/>
      <c r="B561" s="14" t="n"/>
      <c r="C561" s="14" t="n"/>
    </row>
    <row r="562" ht="15.75" customHeight="1" s="30">
      <c r="A562" s="14" t="n"/>
      <c r="B562" s="14" t="n"/>
      <c r="C562" s="14" t="n"/>
    </row>
    <row r="563" ht="15.75" customHeight="1" s="30">
      <c r="A563" s="14" t="n"/>
      <c r="B563" s="14" t="n"/>
      <c r="C563" s="14" t="n"/>
    </row>
    <row r="564" ht="15.75" customHeight="1" s="30">
      <c r="A564" s="14" t="n"/>
      <c r="B564" s="14" t="n"/>
      <c r="C564" s="14" t="n"/>
    </row>
    <row r="565" ht="15.75" customHeight="1" s="30">
      <c r="A565" s="14" t="n"/>
      <c r="B565" s="14" t="n"/>
      <c r="C565" s="14" t="n"/>
    </row>
    <row r="566" ht="15.75" customHeight="1" s="30">
      <c r="A566" s="14" t="n"/>
      <c r="B566" s="14" t="n"/>
      <c r="C566" s="14" t="n"/>
    </row>
    <row r="567" ht="15.75" customHeight="1" s="30">
      <c r="A567" s="14" t="n"/>
      <c r="B567" s="14" t="n"/>
      <c r="C567" s="14" t="n"/>
    </row>
    <row r="568" ht="15.75" customHeight="1" s="30">
      <c r="A568" s="14" t="n"/>
      <c r="B568" s="14" t="n"/>
      <c r="C568" s="14" t="n"/>
    </row>
    <row r="569" ht="15.75" customHeight="1" s="30">
      <c r="A569" s="14" t="n"/>
      <c r="B569" s="14" t="n"/>
      <c r="C569" s="14" t="n"/>
    </row>
    <row r="570" ht="15.75" customHeight="1" s="30">
      <c r="A570" s="14" t="n"/>
      <c r="B570" s="14" t="n"/>
      <c r="C570" s="14" t="n"/>
    </row>
    <row r="571" ht="15.75" customHeight="1" s="30">
      <c r="A571" s="14" t="n"/>
      <c r="B571" s="14" t="n"/>
      <c r="C571" s="14" t="n"/>
    </row>
    <row r="572" ht="15.75" customHeight="1" s="30">
      <c r="A572" s="14" t="n"/>
      <c r="B572" s="14" t="n"/>
      <c r="C572" s="14" t="n"/>
    </row>
    <row r="573" ht="15.75" customHeight="1" s="30">
      <c r="A573" s="14" t="n"/>
      <c r="B573" s="14" t="n"/>
      <c r="C573" s="14" t="n"/>
    </row>
    <row r="574" ht="15.75" customHeight="1" s="30">
      <c r="A574" s="14" t="n"/>
      <c r="B574" s="14" t="n"/>
      <c r="C574" s="14" t="n"/>
    </row>
    <row r="575" ht="15.75" customHeight="1" s="30">
      <c r="A575" s="14" t="n"/>
      <c r="B575" s="14" t="n"/>
      <c r="C575" s="14" t="n"/>
    </row>
    <row r="576" ht="15.75" customHeight="1" s="30">
      <c r="A576" s="14" t="n"/>
      <c r="B576" s="14" t="n"/>
      <c r="C576" s="14" t="n"/>
    </row>
    <row r="577" ht="15.75" customHeight="1" s="30">
      <c r="A577" s="14" t="n"/>
      <c r="B577" s="14" t="n"/>
      <c r="C577" s="14" t="n"/>
    </row>
    <row r="578" ht="15.75" customHeight="1" s="30">
      <c r="A578" s="14" t="n"/>
      <c r="B578" s="14" t="n"/>
      <c r="C578" s="14" t="n"/>
    </row>
    <row r="579" ht="15.75" customHeight="1" s="30">
      <c r="A579" s="14" t="n"/>
      <c r="B579" s="14" t="n"/>
      <c r="C579" s="14" t="n"/>
    </row>
    <row r="580" ht="15.75" customHeight="1" s="30">
      <c r="A580" s="14" t="n"/>
      <c r="B580" s="14" t="n"/>
      <c r="C580" s="14" t="n"/>
    </row>
    <row r="581" ht="15.75" customHeight="1" s="30">
      <c r="A581" s="14" t="n"/>
      <c r="B581" s="14" t="n"/>
      <c r="C581" s="14" t="n"/>
    </row>
    <row r="582" ht="15.75" customHeight="1" s="30">
      <c r="A582" s="14" t="n"/>
      <c r="B582" s="14" t="n"/>
      <c r="C582" s="14" t="n"/>
    </row>
    <row r="583" ht="15.75" customHeight="1" s="30">
      <c r="A583" s="14" t="n"/>
      <c r="B583" s="14" t="n"/>
      <c r="C583" s="14" t="n"/>
    </row>
    <row r="584" ht="15.75" customHeight="1" s="30">
      <c r="A584" s="14" t="n"/>
      <c r="B584" s="14" t="n"/>
      <c r="C584" s="14" t="n"/>
    </row>
    <row r="585" ht="15.75" customHeight="1" s="30">
      <c r="A585" s="14" t="n"/>
      <c r="B585" s="14" t="n"/>
      <c r="C585" s="14" t="n"/>
    </row>
    <row r="586" ht="15.75" customHeight="1" s="30">
      <c r="A586" s="14" t="n"/>
      <c r="B586" s="14" t="n"/>
      <c r="C586" s="14" t="n"/>
    </row>
    <row r="587" ht="15.75" customHeight="1" s="30">
      <c r="A587" s="14" t="n"/>
      <c r="B587" s="14" t="n"/>
      <c r="C587" s="14" t="n"/>
    </row>
    <row r="588" ht="15.75" customHeight="1" s="30">
      <c r="A588" s="14" t="n"/>
      <c r="B588" s="14" t="n"/>
      <c r="C588" s="14" t="n"/>
    </row>
    <row r="589" ht="15.75" customHeight="1" s="30">
      <c r="A589" s="14" t="n"/>
      <c r="B589" s="14" t="n"/>
      <c r="C589" s="14" t="n"/>
    </row>
    <row r="590" ht="15.75" customHeight="1" s="30">
      <c r="A590" s="14" t="n"/>
      <c r="B590" s="14" t="n"/>
      <c r="C590" s="14" t="n"/>
    </row>
    <row r="591" ht="15.75" customHeight="1" s="30">
      <c r="A591" s="14" t="n"/>
      <c r="B591" s="14" t="n"/>
      <c r="C591" s="14" t="n"/>
    </row>
    <row r="592" ht="15.75" customHeight="1" s="30">
      <c r="A592" s="14" t="n"/>
      <c r="B592" s="14" t="n"/>
      <c r="C592" s="14" t="n"/>
    </row>
    <row r="593" ht="15.75" customHeight="1" s="30">
      <c r="A593" s="14" t="n"/>
      <c r="B593" s="14" t="n"/>
      <c r="C593" s="14" t="n"/>
    </row>
    <row r="594" ht="15.75" customHeight="1" s="30">
      <c r="A594" s="14" t="n"/>
      <c r="B594" s="14" t="n"/>
      <c r="C594" s="14" t="n"/>
    </row>
    <row r="595" ht="15.75" customHeight="1" s="30">
      <c r="A595" s="14" t="n"/>
      <c r="B595" s="14" t="n"/>
      <c r="C595" s="14" t="n"/>
    </row>
    <row r="596" ht="15.75" customHeight="1" s="30">
      <c r="A596" s="14" t="n"/>
      <c r="B596" s="14" t="n"/>
      <c r="C596" s="14" t="n"/>
    </row>
    <row r="597" ht="15.75" customHeight="1" s="30">
      <c r="A597" s="14" t="n"/>
      <c r="B597" s="14" t="n"/>
      <c r="C597" s="14" t="n"/>
    </row>
    <row r="598" ht="15.75" customHeight="1" s="30">
      <c r="A598" s="14" t="n"/>
      <c r="B598" s="14" t="n"/>
      <c r="C598" s="14" t="n"/>
    </row>
    <row r="599" ht="15.75" customHeight="1" s="30">
      <c r="A599" s="14" t="n"/>
      <c r="B599" s="14" t="n"/>
      <c r="C599" s="14" t="n"/>
    </row>
    <row r="600" ht="15.75" customHeight="1" s="30">
      <c r="A600" s="14" t="n"/>
      <c r="B600" s="14" t="n"/>
      <c r="C600" s="14" t="n"/>
    </row>
    <row r="601" ht="15.75" customHeight="1" s="30">
      <c r="A601" s="14" t="n"/>
      <c r="B601" s="14" t="n"/>
      <c r="C601" s="14" t="n"/>
    </row>
    <row r="602" ht="15.75" customHeight="1" s="30">
      <c r="A602" s="14" t="n"/>
      <c r="B602" s="14" t="n"/>
      <c r="C602" s="14" t="n"/>
    </row>
    <row r="603" ht="15.75" customHeight="1" s="30">
      <c r="A603" s="14" t="n"/>
      <c r="B603" s="14" t="n"/>
      <c r="C603" s="14" t="n"/>
    </row>
    <row r="604" ht="15.75" customHeight="1" s="30">
      <c r="A604" s="14" t="n"/>
      <c r="B604" s="14" t="n"/>
      <c r="C604" s="14" t="n"/>
    </row>
    <row r="605" ht="15.75" customHeight="1" s="30">
      <c r="A605" s="14" t="n"/>
      <c r="B605" s="14" t="n"/>
      <c r="C605" s="14" t="n"/>
    </row>
    <row r="606" ht="15.75" customHeight="1" s="30">
      <c r="A606" s="14" t="n"/>
      <c r="B606" s="14" t="n"/>
      <c r="C606" s="14" t="n"/>
    </row>
    <row r="607" ht="15.75" customHeight="1" s="30">
      <c r="A607" s="14" t="n"/>
      <c r="B607" s="14" t="n"/>
      <c r="C607" s="14" t="n"/>
    </row>
    <row r="608" ht="15.75" customHeight="1" s="30">
      <c r="A608" s="14" t="n"/>
      <c r="B608" s="14" t="n"/>
      <c r="C608" s="14" t="n"/>
    </row>
    <row r="609" ht="15.75" customHeight="1" s="30">
      <c r="A609" s="14" t="n"/>
      <c r="B609" s="14" t="n"/>
      <c r="C609" s="14" t="n"/>
    </row>
    <row r="610" ht="15.75" customHeight="1" s="30">
      <c r="A610" s="14" t="n"/>
      <c r="B610" s="14" t="n"/>
      <c r="C610" s="14" t="n"/>
    </row>
    <row r="611" ht="15.75" customHeight="1" s="30">
      <c r="A611" s="14" t="n"/>
      <c r="B611" s="14" t="n"/>
      <c r="C611" s="14" t="n"/>
    </row>
    <row r="612" ht="15.75" customHeight="1" s="30">
      <c r="A612" s="14" t="n"/>
      <c r="B612" s="14" t="n"/>
      <c r="C612" s="14" t="n"/>
    </row>
    <row r="613" ht="15.75" customHeight="1" s="30">
      <c r="A613" s="14" t="n"/>
      <c r="B613" s="14" t="n"/>
      <c r="C613" s="14" t="n"/>
    </row>
    <row r="614" ht="15.75" customHeight="1" s="30">
      <c r="A614" s="14" t="n"/>
      <c r="B614" s="14" t="n"/>
      <c r="C614" s="14" t="n"/>
    </row>
    <row r="615" ht="15.75" customHeight="1" s="30">
      <c r="A615" s="14" t="n"/>
      <c r="B615" s="14" t="n"/>
      <c r="C615" s="14" t="n"/>
    </row>
    <row r="616" ht="15.75" customHeight="1" s="30">
      <c r="A616" s="14" t="n"/>
      <c r="B616" s="14" t="n"/>
      <c r="C616" s="14" t="n"/>
    </row>
    <row r="617" ht="15.75" customHeight="1" s="30">
      <c r="A617" s="14" t="n"/>
      <c r="B617" s="14" t="n"/>
      <c r="C617" s="14" t="n"/>
    </row>
    <row r="618" ht="15.75" customHeight="1" s="30">
      <c r="A618" s="14" t="n"/>
      <c r="B618" s="14" t="n"/>
      <c r="C618" s="14" t="n"/>
    </row>
    <row r="619" ht="15.75" customHeight="1" s="30">
      <c r="A619" s="14" t="n"/>
      <c r="B619" s="14" t="n"/>
      <c r="C619" s="14" t="n"/>
    </row>
    <row r="620" ht="15.75" customHeight="1" s="30">
      <c r="A620" s="14" t="n"/>
      <c r="B620" s="14" t="n"/>
      <c r="C620" s="14" t="n"/>
    </row>
    <row r="621" ht="15.75" customHeight="1" s="30">
      <c r="A621" s="14" t="n"/>
      <c r="B621" s="14" t="n"/>
      <c r="C621" s="14" t="n"/>
    </row>
    <row r="622" ht="15.75" customHeight="1" s="30">
      <c r="A622" s="14" t="n"/>
      <c r="B622" s="14" t="n"/>
      <c r="C622" s="14" t="n"/>
    </row>
    <row r="623" ht="15.75" customHeight="1" s="30">
      <c r="A623" s="14" t="n"/>
      <c r="B623" s="14" t="n"/>
      <c r="C623" s="14" t="n"/>
    </row>
    <row r="624" ht="15.75" customHeight="1" s="30">
      <c r="A624" s="14" t="n"/>
      <c r="B624" s="14" t="n"/>
      <c r="C624" s="14" t="n"/>
    </row>
    <row r="625" ht="15.75" customHeight="1" s="30">
      <c r="A625" s="14" t="n"/>
      <c r="B625" s="14" t="n"/>
      <c r="C625" s="14" t="n"/>
    </row>
    <row r="626" ht="15.75" customHeight="1" s="30">
      <c r="A626" s="14" t="n"/>
      <c r="B626" s="14" t="n"/>
      <c r="C626" s="14" t="n"/>
    </row>
    <row r="627" ht="15.75" customHeight="1" s="30">
      <c r="A627" s="14" t="n"/>
      <c r="B627" s="14" t="n"/>
      <c r="C627" s="14" t="n"/>
    </row>
    <row r="628" ht="15.75" customHeight="1" s="30">
      <c r="A628" s="14" t="n"/>
      <c r="B628" s="14" t="n"/>
      <c r="C628" s="14" t="n"/>
    </row>
    <row r="629" ht="15.75" customHeight="1" s="30">
      <c r="A629" s="14" t="n"/>
      <c r="B629" s="14" t="n"/>
      <c r="C629" s="14" t="n"/>
    </row>
    <row r="630" ht="15.75" customHeight="1" s="30">
      <c r="A630" s="14" t="n"/>
      <c r="B630" s="14" t="n"/>
      <c r="C630" s="14" t="n"/>
    </row>
    <row r="631" ht="15.75" customHeight="1" s="30">
      <c r="A631" s="14" t="n"/>
      <c r="B631" s="14" t="n"/>
      <c r="C631" s="14" t="n"/>
    </row>
    <row r="632" ht="15.75" customHeight="1" s="30">
      <c r="A632" s="14" t="n"/>
      <c r="B632" s="14" t="n"/>
      <c r="C632" s="14" t="n"/>
    </row>
    <row r="633" ht="15.75" customHeight="1" s="30">
      <c r="A633" s="14" t="n"/>
      <c r="B633" s="14" t="n"/>
      <c r="C633" s="14" t="n"/>
    </row>
    <row r="634" ht="15.75" customHeight="1" s="30">
      <c r="A634" s="14" t="n"/>
      <c r="B634" s="14" t="n"/>
      <c r="C634" s="14" t="n"/>
    </row>
    <row r="635" ht="15.75" customHeight="1" s="30">
      <c r="A635" s="14" t="n"/>
      <c r="B635" s="14" t="n"/>
      <c r="C635" s="14" t="n"/>
    </row>
    <row r="636" ht="15.75" customHeight="1" s="30">
      <c r="A636" s="14" t="n"/>
      <c r="B636" s="14" t="n"/>
      <c r="C636" s="14" t="n"/>
    </row>
    <row r="637" ht="15.75" customHeight="1" s="30">
      <c r="A637" s="14" t="n"/>
      <c r="B637" s="14" t="n"/>
      <c r="C637" s="14" t="n"/>
    </row>
    <row r="638" ht="15.75" customHeight="1" s="30">
      <c r="A638" s="14" t="n"/>
      <c r="B638" s="14" t="n"/>
      <c r="C638" s="14" t="n"/>
    </row>
    <row r="639" ht="15.75" customHeight="1" s="30">
      <c r="A639" s="14" t="n"/>
      <c r="B639" s="14" t="n"/>
      <c r="C639" s="14" t="n"/>
    </row>
    <row r="640" ht="15.75" customHeight="1" s="30">
      <c r="A640" s="14" t="n"/>
      <c r="B640" s="14" t="n"/>
      <c r="C640" s="14" t="n"/>
    </row>
    <row r="641" ht="15.75" customHeight="1" s="30">
      <c r="A641" s="14" t="n"/>
      <c r="B641" s="14" t="n"/>
      <c r="C641" s="14" t="n"/>
    </row>
    <row r="642" ht="15.75" customHeight="1" s="30">
      <c r="A642" s="14" t="n"/>
      <c r="B642" s="14" t="n"/>
      <c r="C642" s="14" t="n"/>
    </row>
    <row r="643" ht="15.75" customHeight="1" s="30">
      <c r="A643" s="14" t="n"/>
      <c r="B643" s="14" t="n"/>
      <c r="C643" s="14" t="n"/>
    </row>
    <row r="644" ht="15.75" customHeight="1" s="30">
      <c r="A644" s="14" t="n"/>
      <c r="B644" s="14" t="n"/>
      <c r="C644" s="14" t="n"/>
    </row>
    <row r="645" ht="15.75" customHeight="1" s="30">
      <c r="A645" s="14" t="n"/>
      <c r="B645" s="14" t="n"/>
      <c r="C645" s="14" t="n"/>
    </row>
    <row r="646" ht="15.75" customHeight="1" s="30">
      <c r="A646" s="14" t="n"/>
      <c r="B646" s="14" t="n"/>
      <c r="C646" s="14" t="n"/>
    </row>
    <row r="647" ht="15.75" customHeight="1" s="30">
      <c r="A647" s="14" t="n"/>
      <c r="B647" s="14" t="n"/>
      <c r="C647" s="14" t="n"/>
    </row>
    <row r="648" ht="15.75" customHeight="1" s="30">
      <c r="A648" s="14" t="n"/>
      <c r="B648" s="14" t="n"/>
      <c r="C648" s="14" t="n"/>
    </row>
    <row r="649" ht="15.75" customHeight="1" s="30">
      <c r="A649" s="14" t="n"/>
      <c r="B649" s="14" t="n"/>
      <c r="C649" s="14" t="n"/>
    </row>
    <row r="650" ht="15.75" customHeight="1" s="30">
      <c r="A650" s="14" t="n"/>
      <c r="B650" s="14" t="n"/>
      <c r="C650" s="14" t="n"/>
    </row>
    <row r="651" ht="15.75" customHeight="1" s="30">
      <c r="A651" s="14" t="n"/>
      <c r="B651" s="14" t="n"/>
      <c r="C651" s="14" t="n"/>
    </row>
    <row r="652" ht="15.75" customHeight="1" s="30">
      <c r="A652" s="14" t="n"/>
      <c r="B652" s="14" t="n"/>
      <c r="C652" s="14" t="n"/>
    </row>
    <row r="653" ht="15.75" customHeight="1" s="30">
      <c r="A653" s="14" t="n"/>
      <c r="B653" s="14" t="n"/>
      <c r="C653" s="14" t="n"/>
    </row>
    <row r="654" ht="15.75" customHeight="1" s="30">
      <c r="A654" s="14" t="n"/>
      <c r="B654" s="14" t="n"/>
      <c r="C654" s="14" t="n"/>
    </row>
    <row r="655" ht="15.75" customHeight="1" s="30">
      <c r="A655" s="14" t="n"/>
      <c r="B655" s="14" t="n"/>
      <c r="C655" s="14" t="n"/>
    </row>
    <row r="656" ht="15.75" customHeight="1" s="30">
      <c r="A656" s="14" t="n"/>
      <c r="B656" s="14" t="n"/>
      <c r="C656" s="14" t="n"/>
    </row>
    <row r="657" ht="15.75" customHeight="1" s="30">
      <c r="A657" s="14" t="n"/>
      <c r="B657" s="14" t="n"/>
      <c r="C657" s="14" t="n"/>
    </row>
    <row r="658" ht="15.75" customHeight="1" s="30">
      <c r="A658" s="14" t="n"/>
      <c r="B658" s="14" t="n"/>
      <c r="C658" s="14" t="n"/>
    </row>
    <row r="659" ht="15.75" customHeight="1" s="30">
      <c r="A659" s="14" t="n"/>
      <c r="B659" s="14" t="n"/>
      <c r="C659" s="14" t="n"/>
    </row>
    <row r="660" ht="15.75" customHeight="1" s="30">
      <c r="A660" s="14" t="n"/>
      <c r="B660" s="14" t="n"/>
      <c r="C660" s="14" t="n"/>
    </row>
    <row r="661" ht="15.75" customHeight="1" s="30">
      <c r="A661" s="14" t="n"/>
      <c r="B661" s="14" t="n"/>
      <c r="C661" s="14" t="n"/>
    </row>
    <row r="662" ht="15.75" customHeight="1" s="30">
      <c r="A662" s="14" t="n"/>
      <c r="B662" s="14" t="n"/>
      <c r="C662" s="14" t="n"/>
    </row>
    <row r="663" ht="15.75" customHeight="1" s="30">
      <c r="A663" s="14" t="n"/>
      <c r="B663" s="14" t="n"/>
      <c r="C663" s="14" t="n"/>
    </row>
    <row r="664" ht="15.75" customHeight="1" s="30">
      <c r="A664" s="14" t="n"/>
      <c r="B664" s="14" t="n"/>
      <c r="C664" s="14" t="n"/>
    </row>
    <row r="665" ht="15.75" customHeight="1" s="30">
      <c r="A665" s="14" t="n"/>
      <c r="B665" s="14" t="n"/>
      <c r="C665" s="14" t="n"/>
    </row>
    <row r="666" ht="15.75" customHeight="1" s="30">
      <c r="A666" s="14" t="n"/>
      <c r="B666" s="14" t="n"/>
      <c r="C666" s="14" t="n"/>
    </row>
    <row r="667" ht="15.75" customHeight="1" s="30">
      <c r="A667" s="14" t="n"/>
      <c r="B667" s="14" t="n"/>
      <c r="C667" s="14" t="n"/>
    </row>
    <row r="668" ht="15.75" customHeight="1" s="30">
      <c r="A668" s="14" t="n"/>
      <c r="B668" s="14" t="n"/>
      <c r="C668" s="14" t="n"/>
    </row>
    <row r="669" ht="15.75" customHeight="1" s="30">
      <c r="A669" s="14" t="n"/>
      <c r="B669" s="14" t="n"/>
      <c r="C669" s="14" t="n"/>
    </row>
    <row r="670" ht="15.75" customHeight="1" s="30">
      <c r="A670" s="14" t="n"/>
      <c r="B670" s="14" t="n"/>
      <c r="C670" s="14" t="n"/>
    </row>
    <row r="671" ht="15.75" customHeight="1" s="30">
      <c r="A671" s="14" t="n"/>
      <c r="B671" s="14" t="n"/>
      <c r="C671" s="14" t="n"/>
    </row>
    <row r="672" ht="15.75" customHeight="1" s="30">
      <c r="A672" s="14" t="n"/>
      <c r="B672" s="14" t="n"/>
      <c r="C672" s="14" t="n"/>
    </row>
    <row r="673" ht="15.75" customHeight="1" s="30">
      <c r="A673" s="14" t="n"/>
      <c r="B673" s="14" t="n"/>
      <c r="C673" s="14" t="n"/>
    </row>
    <row r="674" ht="15.75" customHeight="1" s="30">
      <c r="A674" s="14" t="n"/>
      <c r="B674" s="14" t="n"/>
      <c r="C674" s="14" t="n"/>
    </row>
    <row r="675" ht="15.75" customHeight="1" s="30">
      <c r="A675" s="14" t="n"/>
      <c r="B675" s="14" t="n"/>
      <c r="C675" s="14" t="n"/>
    </row>
    <row r="676" ht="15.75" customHeight="1" s="30">
      <c r="A676" s="14" t="n"/>
      <c r="B676" s="14" t="n"/>
      <c r="C676" s="14" t="n"/>
    </row>
    <row r="677" ht="15.75" customHeight="1" s="30">
      <c r="A677" s="14" t="n"/>
      <c r="B677" s="14" t="n"/>
      <c r="C677" s="14" t="n"/>
    </row>
    <row r="678" ht="15.75" customHeight="1" s="30">
      <c r="A678" s="14" t="n"/>
      <c r="B678" s="14" t="n"/>
      <c r="C678" s="14" t="n"/>
    </row>
    <row r="679" ht="15.75" customHeight="1" s="30">
      <c r="A679" s="14" t="n"/>
      <c r="B679" s="14" t="n"/>
      <c r="C679" s="14" t="n"/>
    </row>
    <row r="680" ht="15.75" customHeight="1" s="30">
      <c r="A680" s="14" t="n"/>
      <c r="B680" s="14" t="n"/>
      <c r="C680" s="14" t="n"/>
    </row>
    <row r="681" ht="15.75" customHeight="1" s="30">
      <c r="A681" s="14" t="n"/>
      <c r="B681" s="14" t="n"/>
      <c r="C681" s="14" t="n"/>
    </row>
    <row r="682" ht="15.75" customHeight="1" s="30">
      <c r="A682" s="14" t="n"/>
      <c r="B682" s="14" t="n"/>
      <c r="C682" s="14" t="n"/>
    </row>
    <row r="683" ht="15.75" customHeight="1" s="30">
      <c r="A683" s="14" t="n"/>
      <c r="B683" s="14" t="n"/>
      <c r="C683" s="14" t="n"/>
    </row>
    <row r="684" ht="15.75" customHeight="1" s="30">
      <c r="A684" s="14" t="n"/>
      <c r="B684" s="14" t="n"/>
      <c r="C684" s="14" t="n"/>
    </row>
    <row r="685" ht="15.75" customHeight="1" s="30">
      <c r="A685" s="14" t="n"/>
      <c r="B685" s="14" t="n"/>
      <c r="C685" s="14" t="n"/>
    </row>
    <row r="686" ht="15.75" customHeight="1" s="30">
      <c r="A686" s="14" t="n"/>
      <c r="B686" s="14" t="n"/>
      <c r="C686" s="14" t="n"/>
    </row>
    <row r="687" ht="15.75" customHeight="1" s="30">
      <c r="A687" s="14" t="n"/>
      <c r="B687" s="14" t="n"/>
      <c r="C687" s="14" t="n"/>
    </row>
    <row r="688" ht="15.75" customHeight="1" s="30">
      <c r="A688" s="14" t="n"/>
      <c r="B688" s="14" t="n"/>
      <c r="C688" s="14" t="n"/>
    </row>
    <row r="689" ht="15.75" customHeight="1" s="30">
      <c r="A689" s="14" t="n"/>
      <c r="B689" s="14" t="n"/>
      <c r="C689" s="14" t="n"/>
    </row>
    <row r="690" ht="15.75" customHeight="1" s="30">
      <c r="A690" s="14" t="n"/>
      <c r="B690" s="14" t="n"/>
      <c r="C690" s="14" t="n"/>
    </row>
    <row r="691" ht="15.75" customHeight="1" s="30">
      <c r="A691" s="14" t="n"/>
      <c r="B691" s="14" t="n"/>
      <c r="C691" s="14" t="n"/>
    </row>
    <row r="692" ht="15.75" customHeight="1" s="30">
      <c r="A692" s="14" t="n"/>
      <c r="B692" s="14" t="n"/>
      <c r="C692" s="14" t="n"/>
    </row>
    <row r="693" ht="15.75" customHeight="1" s="30">
      <c r="A693" s="14" t="n"/>
      <c r="B693" s="14" t="n"/>
      <c r="C693" s="14" t="n"/>
    </row>
    <row r="694" ht="15.75" customHeight="1" s="30">
      <c r="A694" s="14" t="n"/>
      <c r="B694" s="14" t="n"/>
      <c r="C694" s="14" t="n"/>
    </row>
    <row r="695" ht="15.75" customHeight="1" s="30">
      <c r="A695" s="14" t="n"/>
      <c r="B695" s="14" t="n"/>
      <c r="C695" s="14" t="n"/>
    </row>
    <row r="696" ht="15.75" customHeight="1" s="30">
      <c r="A696" s="14" t="n"/>
      <c r="B696" s="14" t="n"/>
      <c r="C696" s="14" t="n"/>
    </row>
    <row r="697" ht="15.75" customHeight="1" s="30">
      <c r="A697" s="14" t="n"/>
      <c r="B697" s="14" t="n"/>
      <c r="C697" s="14" t="n"/>
    </row>
    <row r="698" ht="15.75" customHeight="1" s="30">
      <c r="A698" s="14" t="n"/>
      <c r="B698" s="14" t="n"/>
      <c r="C698" s="14" t="n"/>
    </row>
    <row r="699" ht="15.75" customHeight="1" s="30">
      <c r="A699" s="14" t="n"/>
      <c r="B699" s="14" t="n"/>
      <c r="C699" s="14" t="n"/>
    </row>
    <row r="700" ht="15.75" customHeight="1" s="30">
      <c r="A700" s="14" t="n"/>
      <c r="B700" s="14" t="n"/>
      <c r="C700" s="14" t="n"/>
    </row>
    <row r="701" ht="15.75" customHeight="1" s="30">
      <c r="A701" s="14" t="n"/>
      <c r="B701" s="14" t="n"/>
      <c r="C701" s="14" t="n"/>
    </row>
    <row r="702" ht="15.75" customHeight="1" s="30">
      <c r="A702" s="14" t="n"/>
      <c r="B702" s="14" t="n"/>
      <c r="C702" s="14" t="n"/>
    </row>
    <row r="703" ht="15.75" customHeight="1" s="30">
      <c r="A703" s="14" t="n"/>
      <c r="B703" s="14" t="n"/>
      <c r="C703" s="14" t="n"/>
    </row>
    <row r="704" ht="15.75" customHeight="1" s="30">
      <c r="A704" s="14" t="n"/>
      <c r="B704" s="14" t="n"/>
      <c r="C704" s="14" t="n"/>
    </row>
    <row r="705" ht="15.75" customHeight="1" s="30">
      <c r="A705" s="14" t="n"/>
      <c r="B705" s="14" t="n"/>
      <c r="C705" s="14" t="n"/>
    </row>
    <row r="706" ht="15.75" customHeight="1" s="30">
      <c r="A706" s="14" t="n"/>
      <c r="B706" s="14" t="n"/>
      <c r="C706" s="14" t="n"/>
    </row>
    <row r="707" ht="15.75" customHeight="1" s="30">
      <c r="A707" s="14" t="n"/>
      <c r="B707" s="14" t="n"/>
      <c r="C707" s="14" t="n"/>
    </row>
    <row r="708" ht="15.75" customHeight="1" s="30">
      <c r="A708" s="14" t="n"/>
      <c r="B708" s="14" t="n"/>
      <c r="C708" s="14" t="n"/>
    </row>
    <row r="709" ht="15.75" customHeight="1" s="30">
      <c r="A709" s="14" t="n"/>
      <c r="B709" s="14" t="n"/>
      <c r="C709" s="14" t="n"/>
    </row>
    <row r="710" ht="15.75" customHeight="1" s="30">
      <c r="A710" s="14" t="n"/>
      <c r="B710" s="14" t="n"/>
      <c r="C710" s="14" t="n"/>
    </row>
    <row r="711" ht="15.75" customHeight="1" s="30">
      <c r="A711" s="14" t="n"/>
      <c r="B711" s="14" t="n"/>
      <c r="C711" s="14" t="n"/>
    </row>
    <row r="712" ht="15.75" customHeight="1" s="30">
      <c r="A712" s="14" t="n"/>
      <c r="B712" s="14" t="n"/>
      <c r="C712" s="14" t="n"/>
    </row>
    <row r="713" ht="15.75" customHeight="1" s="30">
      <c r="A713" s="14" t="n"/>
      <c r="B713" s="14" t="n"/>
      <c r="C713" s="14" t="n"/>
    </row>
    <row r="714" ht="15.75" customHeight="1" s="30">
      <c r="A714" s="14" t="n"/>
      <c r="B714" s="14" t="n"/>
      <c r="C714" s="14" t="n"/>
    </row>
    <row r="715" ht="15.75" customHeight="1" s="30">
      <c r="A715" s="14" t="n"/>
      <c r="B715" s="14" t="n"/>
      <c r="C715" s="14" t="n"/>
    </row>
    <row r="716" ht="15.75" customHeight="1" s="30">
      <c r="A716" s="14" t="n"/>
      <c r="B716" s="14" t="n"/>
      <c r="C716" s="14" t="n"/>
    </row>
    <row r="717" ht="15.75" customHeight="1" s="30">
      <c r="A717" s="14" t="n"/>
      <c r="B717" s="14" t="n"/>
      <c r="C717" s="14" t="n"/>
    </row>
    <row r="718" ht="15.75" customHeight="1" s="30">
      <c r="A718" s="14" t="n"/>
      <c r="B718" s="14" t="n"/>
      <c r="C718" s="14" t="n"/>
    </row>
    <row r="719" ht="15.75" customHeight="1" s="30">
      <c r="A719" s="14" t="n"/>
      <c r="B719" s="14" t="n"/>
      <c r="C719" s="14" t="n"/>
    </row>
    <row r="720" ht="15.75" customHeight="1" s="30">
      <c r="A720" s="14" t="n"/>
      <c r="B720" s="14" t="n"/>
      <c r="C720" s="14" t="n"/>
    </row>
    <row r="721" ht="15.75" customHeight="1" s="30">
      <c r="A721" s="14" t="n"/>
      <c r="B721" s="14" t="n"/>
      <c r="C721" s="14" t="n"/>
    </row>
    <row r="722" ht="15.75" customHeight="1" s="30">
      <c r="A722" s="14" t="n"/>
      <c r="B722" s="14" t="n"/>
      <c r="C722" s="14" t="n"/>
    </row>
    <row r="723" ht="15.75" customHeight="1" s="30">
      <c r="A723" s="14" t="n"/>
      <c r="B723" s="14" t="n"/>
      <c r="C723" s="14" t="n"/>
    </row>
    <row r="724" ht="15.75" customHeight="1" s="30">
      <c r="A724" s="14" t="n"/>
      <c r="B724" s="14" t="n"/>
      <c r="C724" s="14" t="n"/>
    </row>
    <row r="725" ht="15.75" customHeight="1" s="30">
      <c r="A725" s="14" t="n"/>
      <c r="B725" s="14" t="n"/>
      <c r="C725" s="14" t="n"/>
    </row>
    <row r="726" ht="15.75" customHeight="1" s="30">
      <c r="A726" s="14" t="n"/>
      <c r="B726" s="14" t="n"/>
      <c r="C726" s="14" t="n"/>
    </row>
    <row r="727" ht="15.75" customHeight="1" s="30">
      <c r="A727" s="14" t="n"/>
      <c r="B727" s="14" t="n"/>
      <c r="C727" s="14" t="n"/>
    </row>
    <row r="728" ht="15.75" customHeight="1" s="30">
      <c r="A728" s="14" t="n"/>
      <c r="B728" s="14" t="n"/>
      <c r="C728" s="14" t="n"/>
    </row>
    <row r="729" ht="15.75" customHeight="1" s="30">
      <c r="A729" s="14" t="n"/>
      <c r="B729" s="14" t="n"/>
      <c r="C729" s="14" t="n"/>
    </row>
    <row r="730" ht="15.75" customHeight="1" s="30">
      <c r="A730" s="14" t="n"/>
      <c r="B730" s="14" t="n"/>
      <c r="C730" s="14" t="n"/>
    </row>
    <row r="731" ht="15.75" customHeight="1" s="30">
      <c r="A731" s="14" t="n"/>
      <c r="B731" s="14" t="n"/>
      <c r="C731" s="14" t="n"/>
    </row>
    <row r="732" ht="15.75" customHeight="1" s="30">
      <c r="A732" s="14" t="n"/>
      <c r="B732" s="14" t="n"/>
      <c r="C732" s="14" t="n"/>
    </row>
    <row r="733" ht="15.75" customHeight="1" s="30">
      <c r="A733" s="14" t="n"/>
      <c r="B733" s="14" t="n"/>
      <c r="C733" s="14" t="n"/>
    </row>
    <row r="734" ht="15.75" customHeight="1" s="30">
      <c r="A734" s="14" t="n"/>
      <c r="B734" s="14" t="n"/>
      <c r="C734" s="14" t="n"/>
    </row>
    <row r="735" ht="15.75" customHeight="1" s="30">
      <c r="A735" s="14" t="n"/>
      <c r="B735" s="14" t="n"/>
      <c r="C735" s="14" t="n"/>
    </row>
    <row r="736" ht="15.75" customHeight="1" s="30">
      <c r="A736" s="14" t="n"/>
      <c r="B736" s="14" t="n"/>
      <c r="C736" s="14" t="n"/>
    </row>
    <row r="737" ht="15.75" customHeight="1" s="30">
      <c r="A737" s="14" t="n"/>
      <c r="B737" s="14" t="n"/>
      <c r="C737" s="14" t="n"/>
    </row>
    <row r="738" ht="15.75" customHeight="1" s="30">
      <c r="A738" s="14" t="n"/>
      <c r="B738" s="14" t="n"/>
      <c r="C738" s="14" t="n"/>
    </row>
    <row r="739" ht="15.75" customHeight="1" s="30">
      <c r="A739" s="14" t="n"/>
      <c r="B739" s="14" t="n"/>
      <c r="C739" s="14" t="n"/>
    </row>
    <row r="740" ht="15.75" customHeight="1" s="30">
      <c r="A740" s="14" t="n"/>
      <c r="B740" s="14" t="n"/>
      <c r="C740" s="14" t="n"/>
    </row>
    <row r="741" ht="15.75" customHeight="1" s="30">
      <c r="A741" s="14" t="n"/>
      <c r="B741" s="14" t="n"/>
      <c r="C741" s="14" t="n"/>
    </row>
    <row r="742" ht="15.75" customHeight="1" s="30">
      <c r="A742" s="14" t="n"/>
      <c r="B742" s="14" t="n"/>
      <c r="C742" s="14" t="n"/>
    </row>
    <row r="743" ht="15.75" customHeight="1" s="30">
      <c r="A743" s="14" t="n"/>
      <c r="B743" s="14" t="n"/>
      <c r="C743" s="14" t="n"/>
    </row>
    <row r="744" ht="15.75" customHeight="1" s="30">
      <c r="A744" s="14" t="n"/>
      <c r="B744" s="14" t="n"/>
      <c r="C744" s="14" t="n"/>
    </row>
    <row r="745" ht="15.75" customHeight="1" s="30">
      <c r="A745" s="14" t="n"/>
      <c r="B745" s="14" t="n"/>
      <c r="C745" s="14" t="n"/>
    </row>
    <row r="746" ht="15.75" customHeight="1" s="30">
      <c r="A746" s="14" t="n"/>
      <c r="B746" s="14" t="n"/>
      <c r="C746" s="14" t="n"/>
    </row>
    <row r="747" ht="15.75" customHeight="1" s="30">
      <c r="A747" s="14" t="n"/>
      <c r="B747" s="14" t="n"/>
      <c r="C747" s="14" t="n"/>
    </row>
    <row r="748" ht="15.75" customHeight="1" s="30">
      <c r="A748" s="14" t="n"/>
      <c r="B748" s="14" t="n"/>
      <c r="C748" s="14" t="n"/>
    </row>
    <row r="749" ht="15.75" customHeight="1" s="30">
      <c r="A749" s="14" t="n"/>
      <c r="B749" s="14" t="n"/>
      <c r="C749" s="14" t="n"/>
    </row>
    <row r="750" ht="15.75" customHeight="1" s="30">
      <c r="A750" s="14" t="n"/>
      <c r="B750" s="14" t="n"/>
      <c r="C750" s="14" t="n"/>
    </row>
    <row r="751" ht="15.75" customHeight="1" s="30">
      <c r="A751" s="14" t="n"/>
      <c r="B751" s="14" t="n"/>
      <c r="C751" s="14" t="n"/>
    </row>
    <row r="752" ht="15.75" customHeight="1" s="30">
      <c r="A752" s="14" t="n"/>
      <c r="B752" s="14" t="n"/>
      <c r="C752" s="14" t="n"/>
    </row>
    <row r="753" ht="15.75" customHeight="1" s="30">
      <c r="A753" s="14" t="n"/>
      <c r="B753" s="14" t="n"/>
      <c r="C753" s="14" t="n"/>
    </row>
    <row r="754" ht="15.75" customHeight="1" s="30">
      <c r="A754" s="14" t="n"/>
      <c r="B754" s="14" t="n"/>
      <c r="C754" s="14" t="n"/>
    </row>
    <row r="755" ht="15.75" customHeight="1" s="30">
      <c r="A755" s="14" t="n"/>
      <c r="B755" s="14" t="n"/>
      <c r="C755" s="14" t="n"/>
    </row>
    <row r="756" ht="15.75" customHeight="1" s="30">
      <c r="A756" s="14" t="n"/>
      <c r="B756" s="14" t="n"/>
      <c r="C756" s="14" t="n"/>
    </row>
    <row r="757" ht="15.75" customHeight="1" s="30">
      <c r="A757" s="14" t="n"/>
      <c r="B757" s="14" t="n"/>
      <c r="C757" s="14" t="n"/>
    </row>
    <row r="758" ht="15.75" customHeight="1" s="30">
      <c r="A758" s="14" t="n"/>
      <c r="B758" s="14" t="n"/>
      <c r="C758" s="14" t="n"/>
    </row>
    <row r="759" ht="15.75" customHeight="1" s="30">
      <c r="A759" s="14" t="n"/>
      <c r="B759" s="14" t="n"/>
      <c r="C759" s="14" t="n"/>
    </row>
    <row r="760" ht="15.75" customHeight="1" s="30">
      <c r="A760" s="14" t="n"/>
      <c r="B760" s="14" t="n"/>
      <c r="C760" s="14" t="n"/>
    </row>
    <row r="761" ht="15.75" customHeight="1" s="30">
      <c r="A761" s="14" t="n"/>
      <c r="B761" s="14" t="n"/>
      <c r="C761" s="14" t="n"/>
    </row>
    <row r="762" ht="15.75" customHeight="1" s="30">
      <c r="A762" s="14" t="n"/>
      <c r="B762" s="14" t="n"/>
      <c r="C762" s="14" t="n"/>
    </row>
    <row r="763" ht="15.75" customHeight="1" s="30">
      <c r="A763" s="14" t="n"/>
      <c r="B763" s="14" t="n"/>
      <c r="C763" s="14" t="n"/>
    </row>
    <row r="764" ht="15.75" customHeight="1" s="30">
      <c r="A764" s="14" t="n"/>
      <c r="B764" s="14" t="n"/>
      <c r="C764" s="14" t="n"/>
    </row>
    <row r="765" ht="15.75" customHeight="1" s="30">
      <c r="A765" s="14" t="n"/>
      <c r="B765" s="14" t="n"/>
      <c r="C765" s="14" t="n"/>
    </row>
    <row r="766" ht="15.75" customHeight="1" s="30">
      <c r="A766" s="14" t="n"/>
      <c r="B766" s="14" t="n"/>
      <c r="C766" s="14" t="n"/>
    </row>
    <row r="767" ht="15.75" customHeight="1" s="30">
      <c r="A767" s="14" t="n"/>
      <c r="B767" s="14" t="n"/>
      <c r="C767" s="14" t="n"/>
    </row>
    <row r="768" ht="15.75" customHeight="1" s="30">
      <c r="A768" s="14" t="n"/>
      <c r="B768" s="14" t="n"/>
      <c r="C768" s="14" t="n"/>
    </row>
    <row r="769" ht="15.75" customHeight="1" s="30">
      <c r="A769" s="14" t="n"/>
      <c r="B769" s="14" t="n"/>
      <c r="C769" s="14" t="n"/>
    </row>
    <row r="770" ht="15.75" customHeight="1" s="30">
      <c r="A770" s="14" t="n"/>
      <c r="B770" s="14" t="n"/>
      <c r="C770" s="14" t="n"/>
    </row>
    <row r="771" ht="15.75" customHeight="1" s="30">
      <c r="A771" s="14" t="n"/>
      <c r="B771" s="14" t="n"/>
      <c r="C771" s="14" t="n"/>
    </row>
    <row r="772" ht="15.75" customHeight="1" s="30">
      <c r="A772" s="14" t="n"/>
      <c r="B772" s="14" t="n"/>
      <c r="C772" s="14" t="n"/>
    </row>
    <row r="773" ht="15.75" customHeight="1" s="30">
      <c r="A773" s="14" t="n"/>
      <c r="B773" s="14" t="n"/>
      <c r="C773" s="14" t="n"/>
    </row>
    <row r="774" ht="15.75" customHeight="1" s="30">
      <c r="A774" s="14" t="n"/>
      <c r="B774" s="14" t="n"/>
      <c r="C774" s="14" t="n"/>
    </row>
    <row r="775" ht="15.75" customHeight="1" s="30">
      <c r="A775" s="14" t="n"/>
      <c r="B775" s="14" t="n"/>
      <c r="C775" s="14" t="n"/>
    </row>
    <row r="776" ht="15.75" customHeight="1" s="30">
      <c r="A776" s="14" t="n"/>
      <c r="B776" s="14" t="n"/>
      <c r="C776" s="14" t="n"/>
    </row>
    <row r="777" ht="15.75" customHeight="1" s="30">
      <c r="A777" s="14" t="n"/>
      <c r="B777" s="14" t="n"/>
      <c r="C777" s="14" t="n"/>
    </row>
    <row r="778" ht="15.75" customHeight="1" s="30">
      <c r="A778" s="14" t="n"/>
      <c r="B778" s="14" t="n"/>
      <c r="C778" s="14" t="n"/>
    </row>
    <row r="779" ht="15.75" customHeight="1" s="30">
      <c r="A779" s="14" t="n"/>
      <c r="B779" s="14" t="n"/>
      <c r="C779" s="14" t="n"/>
    </row>
    <row r="780" ht="15.75" customHeight="1" s="30">
      <c r="A780" s="14" t="n"/>
      <c r="B780" s="14" t="n"/>
      <c r="C780" s="14" t="n"/>
    </row>
    <row r="781" ht="15.75" customHeight="1" s="30">
      <c r="A781" s="14" t="n"/>
      <c r="B781" s="14" t="n"/>
      <c r="C781" s="14" t="n"/>
    </row>
    <row r="782" ht="15.75" customHeight="1" s="30">
      <c r="A782" s="14" t="n"/>
      <c r="B782" s="14" t="n"/>
      <c r="C782" s="14" t="n"/>
    </row>
    <row r="783" ht="15.75" customHeight="1" s="30">
      <c r="A783" s="14" t="n"/>
      <c r="B783" s="14" t="n"/>
      <c r="C783" s="14" t="n"/>
    </row>
    <row r="784" ht="15.75" customHeight="1" s="30">
      <c r="A784" s="14" t="n"/>
      <c r="B784" s="14" t="n"/>
      <c r="C784" s="14" t="n"/>
    </row>
    <row r="785" ht="15.75" customHeight="1" s="30">
      <c r="A785" s="14" t="n"/>
      <c r="B785" s="14" t="n"/>
      <c r="C785" s="14" t="n"/>
    </row>
    <row r="786" ht="15.75" customHeight="1" s="30">
      <c r="A786" s="14" t="n"/>
      <c r="B786" s="14" t="n"/>
      <c r="C786" s="14" t="n"/>
    </row>
    <row r="787" ht="15.75" customHeight="1" s="30">
      <c r="A787" s="14" t="n"/>
      <c r="B787" s="14" t="n"/>
      <c r="C787" s="14" t="n"/>
    </row>
    <row r="788" ht="15.75" customHeight="1" s="30">
      <c r="A788" s="14" t="n"/>
      <c r="B788" s="14" t="n"/>
      <c r="C788" s="14" t="n"/>
    </row>
    <row r="789" ht="15.75" customHeight="1" s="30">
      <c r="A789" s="14" t="n"/>
      <c r="B789" s="14" t="n"/>
      <c r="C789" s="14" t="n"/>
    </row>
    <row r="790" ht="15.75" customHeight="1" s="30">
      <c r="A790" s="14" t="n"/>
      <c r="B790" s="14" t="n"/>
      <c r="C790" s="14" t="n"/>
    </row>
    <row r="791" ht="15.75" customHeight="1" s="30">
      <c r="A791" s="14" t="n"/>
      <c r="B791" s="14" t="n"/>
      <c r="C791" s="14" t="n"/>
    </row>
    <row r="792" ht="15.75" customHeight="1" s="30">
      <c r="A792" s="14" t="n"/>
      <c r="B792" s="14" t="n"/>
      <c r="C792" s="14" t="n"/>
    </row>
    <row r="793" ht="15.75" customHeight="1" s="30">
      <c r="A793" s="14" t="n"/>
      <c r="B793" s="14" t="n"/>
      <c r="C793" s="14" t="n"/>
    </row>
    <row r="794" ht="15.75" customHeight="1" s="30">
      <c r="A794" s="14" t="n"/>
      <c r="B794" s="14" t="n"/>
      <c r="C794" s="14" t="n"/>
    </row>
    <row r="795" ht="15.75" customHeight="1" s="30">
      <c r="A795" s="14" t="n"/>
      <c r="B795" s="14" t="n"/>
      <c r="C795" s="14" t="n"/>
    </row>
    <row r="796" ht="15.75" customHeight="1" s="30">
      <c r="A796" s="14" t="n"/>
      <c r="B796" s="14" t="n"/>
      <c r="C796" s="14" t="n"/>
    </row>
    <row r="797" ht="15.75" customHeight="1" s="30">
      <c r="A797" s="14" t="n"/>
      <c r="B797" s="14" t="n"/>
      <c r="C797" s="14" t="n"/>
    </row>
    <row r="798" ht="15.75" customHeight="1" s="30">
      <c r="A798" s="14" t="n"/>
      <c r="B798" s="14" t="n"/>
      <c r="C798" s="14" t="n"/>
    </row>
    <row r="799" ht="15.75" customHeight="1" s="30">
      <c r="A799" s="14" t="n"/>
      <c r="B799" s="14" t="n"/>
      <c r="C799" s="14" t="n"/>
    </row>
    <row r="800" ht="15.75" customHeight="1" s="30">
      <c r="A800" s="14" t="n"/>
      <c r="B800" s="14" t="n"/>
      <c r="C800" s="14" t="n"/>
    </row>
    <row r="801" ht="15.75" customHeight="1" s="30">
      <c r="A801" s="14" t="n"/>
      <c r="B801" s="14" t="n"/>
      <c r="C801" s="14" t="n"/>
    </row>
    <row r="802" ht="15.75" customHeight="1" s="30">
      <c r="A802" s="14" t="n"/>
      <c r="B802" s="14" t="n"/>
      <c r="C802" s="14" t="n"/>
    </row>
    <row r="803" ht="15.75" customHeight="1" s="30">
      <c r="A803" s="14" t="n"/>
      <c r="B803" s="14" t="n"/>
      <c r="C803" s="14" t="n"/>
    </row>
    <row r="804" ht="15.75" customHeight="1" s="30">
      <c r="A804" s="14" t="n"/>
      <c r="B804" s="14" t="n"/>
      <c r="C804" s="14" t="n"/>
    </row>
    <row r="805" ht="15.75" customHeight="1" s="30">
      <c r="A805" s="14" t="n"/>
      <c r="B805" s="14" t="n"/>
      <c r="C805" s="14" t="n"/>
    </row>
    <row r="806" ht="15.75" customHeight="1" s="30">
      <c r="A806" s="14" t="n"/>
      <c r="B806" s="14" t="n"/>
      <c r="C806" s="14" t="n"/>
    </row>
    <row r="807" ht="15.75" customHeight="1" s="30">
      <c r="A807" s="14" t="n"/>
      <c r="B807" s="14" t="n"/>
      <c r="C807" s="14" t="n"/>
    </row>
    <row r="808" ht="15.75" customHeight="1" s="30">
      <c r="A808" s="14" t="n"/>
      <c r="B808" s="14" t="n"/>
      <c r="C808" s="14" t="n"/>
    </row>
    <row r="809" ht="15.75" customHeight="1" s="30">
      <c r="A809" s="14" t="n"/>
      <c r="B809" s="14" t="n"/>
      <c r="C809" s="14" t="n"/>
    </row>
    <row r="810" ht="15.75" customHeight="1" s="30">
      <c r="A810" s="14" t="n"/>
      <c r="B810" s="14" t="n"/>
      <c r="C810" s="14" t="n"/>
    </row>
    <row r="811" ht="15.75" customHeight="1" s="30">
      <c r="A811" s="14" t="n"/>
      <c r="B811" s="14" t="n"/>
      <c r="C811" s="14" t="n"/>
    </row>
    <row r="812" ht="15.75" customHeight="1" s="30">
      <c r="A812" s="14" t="n"/>
      <c r="B812" s="14" t="n"/>
      <c r="C812" s="14" t="n"/>
    </row>
    <row r="813" ht="15.75" customHeight="1" s="30">
      <c r="A813" s="14" t="n"/>
      <c r="B813" s="14" t="n"/>
      <c r="C813" s="14" t="n"/>
    </row>
    <row r="814" ht="15.75" customHeight="1" s="30">
      <c r="A814" s="14" t="n"/>
      <c r="B814" s="14" t="n"/>
      <c r="C814" s="14" t="n"/>
    </row>
    <row r="815" ht="15.75" customHeight="1" s="30">
      <c r="A815" s="14" t="n"/>
      <c r="B815" s="14" t="n"/>
      <c r="C815" s="14" t="n"/>
    </row>
    <row r="816" ht="15.75" customHeight="1" s="30">
      <c r="A816" s="14" t="n"/>
      <c r="B816" s="14" t="n"/>
      <c r="C816" s="14" t="n"/>
    </row>
    <row r="817" ht="15.75" customHeight="1" s="30">
      <c r="A817" s="14" t="n"/>
      <c r="B817" s="14" t="n"/>
      <c r="C817" s="14" t="n"/>
    </row>
    <row r="818" ht="15.75" customHeight="1" s="30">
      <c r="A818" s="14" t="n"/>
      <c r="B818" s="14" t="n"/>
      <c r="C818" s="14" t="n"/>
    </row>
    <row r="819" ht="15.75" customHeight="1" s="30">
      <c r="A819" s="14" t="n"/>
      <c r="B819" s="14" t="n"/>
      <c r="C819" s="14" t="n"/>
    </row>
    <row r="820" ht="15.75" customHeight="1" s="30">
      <c r="A820" s="14" t="n"/>
      <c r="B820" s="14" t="n"/>
      <c r="C820" s="14" t="n"/>
    </row>
    <row r="821" ht="15.75" customHeight="1" s="30">
      <c r="A821" s="14" t="n"/>
      <c r="B821" s="14" t="n"/>
      <c r="C821" s="14" t="n"/>
    </row>
    <row r="822" ht="15.75" customHeight="1" s="30">
      <c r="A822" s="14" t="n"/>
      <c r="B822" s="14" t="n"/>
      <c r="C822" s="14" t="n"/>
    </row>
    <row r="823" ht="15.75" customHeight="1" s="30">
      <c r="A823" s="14" t="n"/>
      <c r="B823" s="14" t="n"/>
      <c r="C823" s="14" t="n"/>
    </row>
    <row r="824" ht="15.75" customHeight="1" s="30">
      <c r="A824" s="14" t="n"/>
      <c r="B824" s="14" t="n"/>
      <c r="C824" s="14" t="n"/>
    </row>
    <row r="825" ht="15.75" customHeight="1" s="30">
      <c r="A825" s="14" t="n"/>
      <c r="B825" s="14" t="n"/>
      <c r="C825" s="14" t="n"/>
    </row>
    <row r="826" ht="15.75" customHeight="1" s="30">
      <c r="A826" s="14" t="n"/>
      <c r="B826" s="14" t="n"/>
      <c r="C826" s="14" t="n"/>
    </row>
    <row r="827" ht="15.75" customHeight="1" s="30">
      <c r="A827" s="14" t="n"/>
      <c r="B827" s="14" t="n"/>
      <c r="C827" s="14" t="n"/>
    </row>
    <row r="828" ht="15.75" customHeight="1" s="30">
      <c r="A828" s="14" t="n"/>
      <c r="B828" s="14" t="n"/>
      <c r="C828" s="14" t="n"/>
    </row>
    <row r="829" ht="15.75" customHeight="1" s="30">
      <c r="A829" s="14" t="n"/>
      <c r="B829" s="14" t="n"/>
      <c r="C829" s="14" t="n"/>
    </row>
    <row r="830" ht="15.75" customHeight="1" s="30">
      <c r="A830" s="14" t="n"/>
      <c r="B830" s="14" t="n"/>
      <c r="C830" s="14" t="n"/>
    </row>
    <row r="831" ht="15.75" customHeight="1" s="30">
      <c r="A831" s="14" t="n"/>
      <c r="B831" s="14" t="n"/>
      <c r="C831" s="14" t="n"/>
    </row>
    <row r="832" ht="15.75" customHeight="1" s="30">
      <c r="A832" s="14" t="n"/>
      <c r="B832" s="14" t="n"/>
      <c r="C832" s="14" t="n"/>
    </row>
    <row r="833" ht="15.75" customHeight="1" s="30">
      <c r="A833" s="14" t="n"/>
      <c r="B833" s="14" t="n"/>
      <c r="C833" s="14" t="n"/>
    </row>
    <row r="834" ht="15.75" customHeight="1" s="30">
      <c r="A834" s="14" t="n"/>
      <c r="B834" s="14" t="n"/>
      <c r="C834" s="14" t="n"/>
    </row>
    <row r="835" ht="15.75" customHeight="1" s="30">
      <c r="A835" s="14" t="n"/>
      <c r="B835" s="14" t="n"/>
      <c r="C835" s="14" t="n"/>
    </row>
    <row r="836" ht="15.75" customHeight="1" s="30">
      <c r="A836" s="14" t="n"/>
      <c r="B836" s="14" t="n"/>
      <c r="C836" s="14" t="n"/>
    </row>
    <row r="837" ht="15.75" customHeight="1" s="30">
      <c r="A837" s="14" t="n"/>
      <c r="B837" s="14" t="n"/>
      <c r="C837" s="14" t="n"/>
    </row>
    <row r="838" ht="15.75" customHeight="1" s="30">
      <c r="A838" s="14" t="n"/>
      <c r="B838" s="14" t="n"/>
      <c r="C838" s="14" t="n"/>
    </row>
    <row r="839" ht="15.75" customHeight="1" s="30">
      <c r="A839" s="14" t="n"/>
      <c r="B839" s="14" t="n"/>
      <c r="C839" s="14" t="n"/>
    </row>
    <row r="840" ht="15.75" customHeight="1" s="30">
      <c r="A840" s="14" t="n"/>
      <c r="B840" s="14" t="n"/>
      <c r="C840" s="14" t="n"/>
    </row>
    <row r="841" ht="15.75" customHeight="1" s="30">
      <c r="A841" s="14" t="n"/>
      <c r="B841" s="14" t="n"/>
      <c r="C841" s="14" t="n"/>
    </row>
    <row r="842" ht="15.75" customHeight="1" s="30">
      <c r="A842" s="14" t="n"/>
      <c r="B842" s="14" t="n"/>
      <c r="C842" s="14" t="n"/>
    </row>
    <row r="843" ht="15.75" customHeight="1" s="30">
      <c r="A843" s="14" t="n"/>
      <c r="B843" s="14" t="n"/>
      <c r="C843" s="14" t="n"/>
    </row>
    <row r="844" ht="15.75" customHeight="1" s="30">
      <c r="A844" s="14" t="n"/>
      <c r="B844" s="14" t="n"/>
      <c r="C844" s="14" t="n"/>
    </row>
    <row r="845" ht="15.75" customHeight="1" s="30">
      <c r="A845" s="14" t="n"/>
      <c r="B845" s="14" t="n"/>
      <c r="C845" s="14" t="n"/>
    </row>
    <row r="846" ht="15.75" customHeight="1" s="30">
      <c r="A846" s="14" t="n"/>
      <c r="B846" s="14" t="n"/>
      <c r="C846" s="14" t="n"/>
    </row>
    <row r="847" ht="15.75" customHeight="1" s="30">
      <c r="A847" s="14" t="n"/>
      <c r="B847" s="14" t="n"/>
      <c r="C847" s="14" t="n"/>
    </row>
    <row r="848" ht="15.75" customHeight="1" s="30">
      <c r="A848" s="14" t="n"/>
      <c r="B848" s="14" t="n"/>
      <c r="C848" s="14" t="n"/>
    </row>
    <row r="849" ht="15.75" customHeight="1" s="30">
      <c r="A849" s="14" t="n"/>
      <c r="B849" s="14" t="n"/>
      <c r="C849" s="14" t="n"/>
    </row>
    <row r="850" ht="15.75" customHeight="1" s="30">
      <c r="A850" s="14" t="n"/>
      <c r="B850" s="14" t="n"/>
      <c r="C850" s="14" t="n"/>
    </row>
    <row r="851" ht="15.75" customHeight="1" s="30">
      <c r="A851" s="14" t="n"/>
      <c r="B851" s="14" t="n"/>
      <c r="C851" s="14" t="n"/>
    </row>
    <row r="852" ht="15.75" customHeight="1" s="30">
      <c r="A852" s="14" t="n"/>
      <c r="B852" s="14" t="n"/>
      <c r="C852" s="14" t="n"/>
    </row>
    <row r="853" ht="15.75" customHeight="1" s="30">
      <c r="A853" s="14" t="n"/>
      <c r="B853" s="14" t="n"/>
      <c r="C853" s="14" t="n"/>
    </row>
    <row r="854" ht="15.75" customHeight="1" s="30">
      <c r="A854" s="14" t="n"/>
      <c r="B854" s="14" t="n"/>
      <c r="C854" s="14" t="n"/>
    </row>
    <row r="855" ht="15.75" customHeight="1" s="30">
      <c r="A855" s="14" t="n"/>
      <c r="B855" s="14" t="n"/>
      <c r="C855" s="14" t="n"/>
    </row>
    <row r="856" ht="15.75" customHeight="1" s="30">
      <c r="A856" s="14" t="n"/>
      <c r="B856" s="14" t="n"/>
      <c r="C856" s="14" t="n"/>
    </row>
    <row r="857" ht="15.75" customHeight="1" s="30">
      <c r="A857" s="14" t="n"/>
      <c r="B857" s="14" t="n"/>
      <c r="C857" s="14" t="n"/>
    </row>
    <row r="858" ht="15.75" customHeight="1" s="30">
      <c r="A858" s="14" t="n"/>
      <c r="B858" s="14" t="n"/>
      <c r="C858" s="14" t="n"/>
    </row>
    <row r="859" ht="15.75" customHeight="1" s="30">
      <c r="A859" s="14" t="n"/>
      <c r="B859" s="14" t="n"/>
      <c r="C859" s="14" t="n"/>
    </row>
    <row r="860" ht="15.75" customHeight="1" s="30">
      <c r="A860" s="14" t="n"/>
      <c r="B860" s="14" t="n"/>
      <c r="C860" s="14" t="n"/>
    </row>
    <row r="861" ht="15.75" customHeight="1" s="30">
      <c r="A861" s="14" t="n"/>
      <c r="B861" s="14" t="n"/>
      <c r="C861" s="14" t="n"/>
    </row>
    <row r="862" ht="15.75" customHeight="1" s="30">
      <c r="A862" s="14" t="n"/>
      <c r="B862" s="14" t="n"/>
      <c r="C862" s="14" t="n"/>
    </row>
    <row r="863" ht="15.75" customHeight="1" s="30">
      <c r="A863" s="14" t="n"/>
      <c r="B863" s="14" t="n"/>
      <c r="C863" s="14" t="n"/>
    </row>
    <row r="864" ht="15.75" customHeight="1" s="30">
      <c r="A864" s="14" t="n"/>
      <c r="B864" s="14" t="n"/>
      <c r="C864" s="14" t="n"/>
    </row>
    <row r="865" ht="15.75" customHeight="1" s="30">
      <c r="A865" s="14" t="n"/>
      <c r="B865" s="14" t="n"/>
      <c r="C865" s="14" t="n"/>
    </row>
    <row r="866" ht="15.75" customHeight="1" s="30">
      <c r="A866" s="14" t="n"/>
      <c r="B866" s="14" t="n"/>
      <c r="C866" s="14" t="n"/>
    </row>
    <row r="867" ht="15.75" customHeight="1" s="30">
      <c r="A867" s="14" t="n"/>
      <c r="B867" s="14" t="n"/>
      <c r="C867" s="14" t="n"/>
    </row>
    <row r="868" ht="15.75" customHeight="1" s="30">
      <c r="A868" s="14" t="n"/>
      <c r="B868" s="14" t="n"/>
      <c r="C868" s="14" t="n"/>
    </row>
    <row r="869" ht="15.75" customHeight="1" s="30">
      <c r="A869" s="14" t="n"/>
      <c r="B869" s="14" t="n"/>
      <c r="C869" s="14" t="n"/>
    </row>
    <row r="870" ht="15.75" customHeight="1" s="30">
      <c r="A870" s="14" t="n"/>
      <c r="B870" s="14" t="n"/>
      <c r="C870" s="14" t="n"/>
    </row>
    <row r="871" ht="15.75" customHeight="1" s="30">
      <c r="A871" s="14" t="n"/>
      <c r="B871" s="14" t="n"/>
      <c r="C871" s="14" t="n"/>
    </row>
    <row r="872" ht="15.75" customHeight="1" s="30">
      <c r="A872" s="14" t="n"/>
      <c r="B872" s="14" t="n"/>
      <c r="C872" s="14" t="n"/>
    </row>
    <row r="873" ht="15.75" customHeight="1" s="30">
      <c r="A873" s="14" t="n"/>
      <c r="B873" s="14" t="n"/>
      <c r="C873" s="14" t="n"/>
    </row>
    <row r="874" ht="15.75" customHeight="1" s="30">
      <c r="A874" s="14" t="n"/>
      <c r="B874" s="14" t="n"/>
      <c r="C874" s="14" t="n"/>
    </row>
    <row r="875" ht="15.75" customHeight="1" s="30">
      <c r="A875" s="14" t="n"/>
      <c r="B875" s="14" t="n"/>
      <c r="C875" s="14" t="n"/>
    </row>
    <row r="876" ht="15.75" customHeight="1" s="30">
      <c r="A876" s="14" t="n"/>
      <c r="B876" s="14" t="n"/>
      <c r="C876" s="14" t="n"/>
    </row>
    <row r="877" ht="15.75" customHeight="1" s="30">
      <c r="A877" s="14" t="n"/>
      <c r="B877" s="14" t="n"/>
      <c r="C877" s="14" t="n"/>
    </row>
    <row r="878" ht="15.75" customHeight="1" s="30">
      <c r="A878" s="14" t="n"/>
      <c r="B878" s="14" t="n"/>
      <c r="C878" s="14" t="n"/>
    </row>
    <row r="879" ht="15.75" customHeight="1" s="30">
      <c r="A879" s="14" t="n"/>
      <c r="B879" s="14" t="n"/>
      <c r="C879" s="14" t="n"/>
    </row>
    <row r="880" ht="15.75" customHeight="1" s="30">
      <c r="A880" s="14" t="n"/>
      <c r="B880" s="14" t="n"/>
      <c r="C880" s="14" t="n"/>
    </row>
    <row r="881" ht="15.75" customHeight="1" s="30">
      <c r="A881" s="14" t="n"/>
      <c r="B881" s="14" t="n"/>
      <c r="C881" s="14" t="n"/>
    </row>
    <row r="882" ht="15.75" customHeight="1" s="30">
      <c r="A882" s="14" t="n"/>
      <c r="B882" s="14" t="n"/>
      <c r="C882" s="14" t="n"/>
    </row>
    <row r="883" ht="15.75" customHeight="1" s="30">
      <c r="A883" s="14" t="n"/>
      <c r="B883" s="14" t="n"/>
      <c r="C883" s="14" t="n"/>
    </row>
    <row r="884" ht="15.75" customHeight="1" s="30">
      <c r="A884" s="14" t="n"/>
      <c r="B884" s="14" t="n"/>
      <c r="C884" s="14" t="n"/>
    </row>
    <row r="885" ht="15.75" customHeight="1" s="30">
      <c r="A885" s="14" t="n"/>
      <c r="B885" s="14" t="n"/>
      <c r="C885" s="14" t="n"/>
    </row>
    <row r="886" ht="15.75" customHeight="1" s="30">
      <c r="A886" s="14" t="n"/>
      <c r="B886" s="14" t="n"/>
      <c r="C886" s="14" t="n"/>
    </row>
    <row r="887" ht="15.75" customHeight="1" s="30">
      <c r="A887" s="14" t="n"/>
      <c r="B887" s="14" t="n"/>
      <c r="C887" s="14" t="n"/>
    </row>
    <row r="888" ht="15.75" customHeight="1" s="30">
      <c r="A888" s="14" t="n"/>
      <c r="B888" s="14" t="n"/>
      <c r="C888" s="14" t="n"/>
    </row>
    <row r="889" ht="15.75" customHeight="1" s="30">
      <c r="A889" s="14" t="n"/>
      <c r="B889" s="14" t="n"/>
      <c r="C889" s="14" t="n"/>
    </row>
    <row r="890" ht="15.75" customHeight="1" s="30">
      <c r="A890" s="14" t="n"/>
      <c r="B890" s="14" t="n"/>
      <c r="C890" s="14" t="n"/>
    </row>
    <row r="891" ht="15.75" customHeight="1" s="30">
      <c r="A891" s="14" t="n"/>
      <c r="B891" s="14" t="n"/>
      <c r="C891" s="14" t="n"/>
    </row>
    <row r="892" ht="15.75" customHeight="1" s="30">
      <c r="A892" s="14" t="n"/>
      <c r="B892" s="14" t="n"/>
      <c r="C892" s="14" t="n"/>
    </row>
    <row r="893" ht="15.75" customHeight="1" s="30">
      <c r="A893" s="14" t="n"/>
      <c r="B893" s="14" t="n"/>
      <c r="C893" s="14" t="n"/>
    </row>
    <row r="894" ht="15.75" customHeight="1" s="30">
      <c r="A894" s="14" t="n"/>
      <c r="B894" s="14" t="n"/>
      <c r="C894" s="14" t="n"/>
    </row>
    <row r="895" ht="15.75" customHeight="1" s="30">
      <c r="A895" s="14" t="n"/>
      <c r="B895" s="14" t="n"/>
      <c r="C895" s="14" t="n"/>
    </row>
    <row r="896" ht="15.75" customHeight="1" s="30">
      <c r="A896" s="14" t="n"/>
      <c r="B896" s="14" t="n"/>
      <c r="C896" s="14" t="n"/>
    </row>
    <row r="897" ht="15.75" customHeight="1" s="30">
      <c r="A897" s="14" t="n"/>
      <c r="B897" s="14" t="n"/>
      <c r="C897" s="14" t="n"/>
    </row>
    <row r="898" ht="15.75" customHeight="1" s="30">
      <c r="A898" s="14" t="n"/>
      <c r="B898" s="14" t="n"/>
      <c r="C898" s="14" t="n"/>
    </row>
    <row r="899" ht="15.75" customHeight="1" s="30">
      <c r="A899" s="14" t="n"/>
      <c r="B899" s="14" t="n"/>
      <c r="C899" s="14" t="n"/>
    </row>
    <row r="900" ht="15.75" customHeight="1" s="30">
      <c r="A900" s="14" t="n"/>
      <c r="B900" s="14" t="n"/>
      <c r="C900" s="14" t="n"/>
    </row>
    <row r="901" ht="15.75" customHeight="1" s="30">
      <c r="A901" s="14" t="n"/>
      <c r="B901" s="14" t="n"/>
      <c r="C901" s="14" t="n"/>
    </row>
    <row r="902" ht="15.75" customHeight="1" s="30">
      <c r="A902" s="14" t="n"/>
      <c r="B902" s="14" t="n"/>
      <c r="C902" s="14" t="n"/>
    </row>
    <row r="903" ht="15.75" customHeight="1" s="30">
      <c r="A903" s="14" t="n"/>
      <c r="B903" s="14" t="n"/>
      <c r="C903" s="14" t="n"/>
    </row>
    <row r="904" ht="15.75" customHeight="1" s="30">
      <c r="A904" s="14" t="n"/>
      <c r="B904" s="14" t="n"/>
      <c r="C904" s="14" t="n"/>
    </row>
    <row r="905" ht="15.75" customHeight="1" s="30">
      <c r="A905" s="14" t="n"/>
      <c r="B905" s="14" t="n"/>
      <c r="C905" s="14" t="n"/>
    </row>
    <row r="906" ht="15.75" customHeight="1" s="30">
      <c r="A906" s="14" t="n"/>
      <c r="B906" s="14" t="n"/>
      <c r="C906" s="14" t="n"/>
    </row>
    <row r="907" ht="15.75" customHeight="1" s="30">
      <c r="A907" s="14" t="n"/>
      <c r="B907" s="14" t="n"/>
      <c r="C907" s="14" t="n"/>
    </row>
    <row r="908" ht="15.75" customHeight="1" s="30">
      <c r="A908" s="14" t="n"/>
      <c r="B908" s="14" t="n"/>
      <c r="C908" s="14" t="n"/>
    </row>
    <row r="909" ht="15.75" customHeight="1" s="30">
      <c r="A909" s="14" t="n"/>
      <c r="B909" s="14" t="n"/>
      <c r="C909" s="14" t="n"/>
    </row>
    <row r="910" ht="15.75" customHeight="1" s="30">
      <c r="A910" s="14" t="n"/>
      <c r="B910" s="14" t="n"/>
      <c r="C910" s="14" t="n"/>
    </row>
    <row r="911" ht="15.75" customHeight="1" s="30">
      <c r="A911" s="14" t="n"/>
      <c r="B911" s="14" t="n"/>
      <c r="C911" s="14" t="n"/>
    </row>
    <row r="912" ht="15.75" customHeight="1" s="30">
      <c r="A912" s="14" t="n"/>
      <c r="B912" s="14" t="n"/>
      <c r="C912" s="14" t="n"/>
    </row>
    <row r="913" ht="15.75" customHeight="1" s="30">
      <c r="A913" s="14" t="n"/>
      <c r="B913" s="14" t="n"/>
      <c r="C913" s="14" t="n"/>
    </row>
    <row r="914" ht="15.75" customHeight="1" s="30">
      <c r="A914" s="14" t="n"/>
      <c r="B914" s="14" t="n"/>
      <c r="C914" s="14" t="n"/>
    </row>
    <row r="915" ht="15.75" customHeight="1" s="30">
      <c r="A915" s="14" t="n"/>
      <c r="B915" s="14" t="n"/>
      <c r="C915" s="14" t="n"/>
    </row>
    <row r="916" ht="15.75" customHeight="1" s="30">
      <c r="A916" s="14" t="n"/>
      <c r="B916" s="14" t="n"/>
      <c r="C916" s="14" t="n"/>
    </row>
    <row r="917" ht="15.75" customHeight="1" s="30">
      <c r="A917" s="14" t="n"/>
      <c r="B917" s="14" t="n"/>
      <c r="C917" s="14" t="n"/>
    </row>
    <row r="918" ht="15.75" customHeight="1" s="30">
      <c r="A918" s="14" t="n"/>
      <c r="B918" s="14" t="n"/>
      <c r="C918" s="14" t="n"/>
    </row>
    <row r="919" ht="15.75" customHeight="1" s="30">
      <c r="A919" s="14" t="n"/>
      <c r="B919" s="14" t="n"/>
      <c r="C919" s="14" t="n"/>
    </row>
    <row r="920" ht="15.75" customHeight="1" s="30">
      <c r="A920" s="14" t="n"/>
      <c r="B920" s="14" t="n"/>
      <c r="C920" s="14" t="n"/>
    </row>
    <row r="921" ht="15.75" customHeight="1" s="30">
      <c r="A921" s="14" t="n"/>
      <c r="B921" s="14" t="n"/>
      <c r="C921" s="14" t="n"/>
    </row>
    <row r="922" ht="15.75" customHeight="1" s="30">
      <c r="A922" s="14" t="n"/>
      <c r="B922" s="14" t="n"/>
      <c r="C922" s="14" t="n"/>
    </row>
    <row r="923" ht="15.75" customHeight="1" s="30">
      <c r="A923" s="14" t="n"/>
      <c r="B923" s="14" t="n"/>
      <c r="C923" s="14" t="n"/>
    </row>
    <row r="924" ht="15.75" customHeight="1" s="30">
      <c r="A924" s="14" t="n"/>
      <c r="B924" s="14" t="n"/>
      <c r="C924" s="14" t="n"/>
    </row>
    <row r="925" ht="15.75" customHeight="1" s="30">
      <c r="A925" s="14" t="n"/>
      <c r="B925" s="14" t="n"/>
      <c r="C925" s="14" t="n"/>
    </row>
    <row r="926" ht="15.75" customHeight="1" s="30">
      <c r="A926" s="14" t="n"/>
      <c r="B926" s="14" t="n"/>
      <c r="C926" s="14" t="n"/>
    </row>
    <row r="927" ht="15.75" customHeight="1" s="30">
      <c r="A927" s="14" t="n"/>
      <c r="B927" s="14" t="n"/>
      <c r="C927" s="14" t="n"/>
    </row>
    <row r="928" ht="15.75" customHeight="1" s="30">
      <c r="A928" s="14" t="n"/>
      <c r="B928" s="14" t="n"/>
      <c r="C928" s="14" t="n"/>
    </row>
    <row r="929" ht="15.75" customHeight="1" s="30">
      <c r="A929" s="14" t="n"/>
      <c r="B929" s="14" t="n"/>
      <c r="C929" s="14" t="n"/>
    </row>
    <row r="930" ht="15.75" customHeight="1" s="30">
      <c r="A930" s="14" t="n"/>
      <c r="B930" s="14" t="n"/>
      <c r="C930" s="14" t="n"/>
    </row>
    <row r="931" ht="15.75" customHeight="1" s="30">
      <c r="A931" s="14" t="n"/>
      <c r="B931" s="14" t="n"/>
      <c r="C931" s="14" t="n"/>
    </row>
    <row r="932" ht="15.75" customHeight="1" s="30">
      <c r="A932" s="14" t="n"/>
      <c r="B932" s="14" t="n"/>
      <c r="C932" s="14" t="n"/>
    </row>
    <row r="933" ht="15.75" customHeight="1" s="30">
      <c r="A933" s="14" t="n"/>
      <c r="B933" s="14" t="n"/>
      <c r="C933" s="14" t="n"/>
    </row>
    <row r="934" ht="15.75" customHeight="1" s="30">
      <c r="A934" s="14" t="n"/>
      <c r="B934" s="14" t="n"/>
      <c r="C934" s="14" t="n"/>
    </row>
    <row r="935" ht="15.75" customHeight="1" s="30">
      <c r="A935" s="14" t="n"/>
      <c r="B935" s="14" t="n"/>
      <c r="C935" s="14" t="n"/>
    </row>
    <row r="936" ht="15.75" customHeight="1" s="30">
      <c r="A936" s="14" t="n"/>
      <c r="B936" s="14" t="n"/>
      <c r="C936" s="14" t="n"/>
    </row>
    <row r="937" ht="15.75" customHeight="1" s="30">
      <c r="A937" s="14" t="n"/>
      <c r="B937" s="14" t="n"/>
      <c r="C937" s="14" t="n"/>
    </row>
    <row r="938" ht="15.75" customHeight="1" s="30">
      <c r="A938" s="14" t="n"/>
      <c r="B938" s="14" t="n"/>
      <c r="C938" s="14" t="n"/>
    </row>
    <row r="939" ht="15.75" customHeight="1" s="30">
      <c r="A939" s="14" t="n"/>
      <c r="B939" s="14" t="n"/>
      <c r="C939" s="14" t="n"/>
    </row>
    <row r="940" ht="15.75" customHeight="1" s="30">
      <c r="A940" s="14" t="n"/>
      <c r="B940" s="14" t="n"/>
      <c r="C940" s="14" t="n"/>
    </row>
    <row r="941" ht="15.75" customHeight="1" s="30">
      <c r="A941" s="14" t="n"/>
      <c r="B941" s="14" t="n"/>
      <c r="C941" s="14" t="n"/>
    </row>
    <row r="942" ht="15.75" customHeight="1" s="30">
      <c r="A942" s="14" t="n"/>
      <c r="B942" s="14" t="n"/>
      <c r="C942" s="14" t="n"/>
    </row>
    <row r="943" ht="15.75" customHeight="1" s="30">
      <c r="A943" s="14" t="n"/>
      <c r="B943" s="14" t="n"/>
      <c r="C943" s="14" t="n"/>
    </row>
    <row r="944" ht="15.75" customHeight="1" s="30">
      <c r="A944" s="14" t="n"/>
      <c r="B944" s="14" t="n"/>
      <c r="C944" s="14" t="n"/>
    </row>
    <row r="945" ht="15.75" customHeight="1" s="30">
      <c r="A945" s="14" t="n"/>
      <c r="B945" s="14" t="n"/>
      <c r="C945" s="14" t="n"/>
    </row>
    <row r="946" ht="15.75" customHeight="1" s="30">
      <c r="A946" s="14" t="n"/>
      <c r="B946" s="14" t="n"/>
      <c r="C946" s="14" t="n"/>
    </row>
    <row r="947" ht="15.75" customHeight="1" s="30">
      <c r="A947" s="14" t="n"/>
      <c r="B947" s="14" t="n"/>
      <c r="C947" s="14" t="n"/>
    </row>
    <row r="948" ht="15.75" customHeight="1" s="30">
      <c r="A948" s="14" t="n"/>
      <c r="B948" s="14" t="n"/>
      <c r="C948" s="14" t="n"/>
    </row>
    <row r="949" ht="15.75" customHeight="1" s="30">
      <c r="A949" s="14" t="n"/>
      <c r="B949" s="14" t="n"/>
      <c r="C949" s="14" t="n"/>
    </row>
    <row r="950" ht="15.75" customHeight="1" s="30">
      <c r="A950" s="14" t="n"/>
      <c r="B950" s="14" t="n"/>
      <c r="C950" s="14" t="n"/>
    </row>
    <row r="951" ht="15.75" customHeight="1" s="30">
      <c r="A951" s="14" t="n"/>
      <c r="B951" s="14" t="n"/>
      <c r="C951" s="14" t="n"/>
    </row>
    <row r="952" ht="15.75" customHeight="1" s="30">
      <c r="A952" s="14" t="n"/>
      <c r="B952" s="14" t="n"/>
      <c r="C952" s="14" t="n"/>
    </row>
    <row r="953" ht="15.75" customHeight="1" s="30">
      <c r="A953" s="14" t="n"/>
      <c r="B953" s="14" t="n"/>
      <c r="C953" s="14" t="n"/>
    </row>
    <row r="954" ht="15.75" customHeight="1" s="30">
      <c r="A954" s="14" t="n"/>
      <c r="B954" s="14" t="n"/>
      <c r="C954" s="14" t="n"/>
    </row>
    <row r="955" ht="15.75" customHeight="1" s="30">
      <c r="A955" s="14" t="n"/>
      <c r="B955" s="14" t="n"/>
      <c r="C955" s="14" t="n"/>
    </row>
    <row r="956" ht="15.75" customHeight="1" s="30">
      <c r="A956" s="14" t="n"/>
      <c r="B956" s="14" t="n"/>
      <c r="C956" s="14" t="n"/>
    </row>
    <row r="957" ht="15.75" customHeight="1" s="30">
      <c r="A957" s="14" t="n"/>
      <c r="B957" s="14" t="n"/>
      <c r="C957" s="14" t="n"/>
    </row>
    <row r="958" ht="15.75" customHeight="1" s="30">
      <c r="A958" s="14" t="n"/>
      <c r="B958" s="14" t="n"/>
      <c r="C958" s="14" t="n"/>
    </row>
    <row r="959" ht="15.75" customHeight="1" s="30">
      <c r="A959" s="14" t="n"/>
      <c r="B959" s="14" t="n"/>
      <c r="C959" s="14" t="n"/>
    </row>
    <row r="960" ht="15.75" customHeight="1" s="30">
      <c r="A960" s="14" t="n"/>
      <c r="B960" s="14" t="n"/>
      <c r="C960" s="14" t="n"/>
    </row>
    <row r="961" ht="15.75" customHeight="1" s="30">
      <c r="A961" s="14" t="n"/>
      <c r="B961" s="14" t="n"/>
      <c r="C961" s="14" t="n"/>
    </row>
    <row r="962" ht="15.75" customHeight="1" s="30">
      <c r="A962" s="14" t="n"/>
      <c r="B962" s="14" t="n"/>
      <c r="C962" s="14" t="n"/>
    </row>
    <row r="963" ht="15.75" customHeight="1" s="30">
      <c r="A963" s="14" t="n"/>
      <c r="B963" s="14" t="n"/>
      <c r="C963" s="14" t="n"/>
    </row>
    <row r="964" ht="15.75" customHeight="1" s="30">
      <c r="A964" s="14" t="n"/>
      <c r="B964" s="14" t="n"/>
      <c r="C964" s="14" t="n"/>
    </row>
    <row r="965" ht="15.75" customHeight="1" s="30">
      <c r="A965" s="14" t="n"/>
      <c r="B965" s="14" t="n"/>
      <c r="C965" s="14" t="n"/>
    </row>
    <row r="966" ht="15.75" customHeight="1" s="30">
      <c r="A966" s="14" t="n"/>
      <c r="B966" s="14" t="n"/>
      <c r="C966" s="14" t="n"/>
    </row>
    <row r="967" ht="15.75" customHeight="1" s="30">
      <c r="A967" s="14" t="n"/>
      <c r="B967" s="14" t="n"/>
      <c r="C967" s="14" t="n"/>
    </row>
    <row r="968" ht="15.75" customHeight="1" s="30">
      <c r="A968" s="14" t="n"/>
      <c r="B968" s="14" t="n"/>
      <c r="C968" s="14" t="n"/>
    </row>
    <row r="969" ht="15.75" customHeight="1" s="30">
      <c r="A969" s="14" t="n"/>
      <c r="B969" s="14" t="n"/>
      <c r="C969" s="14" t="n"/>
    </row>
    <row r="970" ht="15.75" customHeight="1" s="30">
      <c r="A970" s="14" t="n"/>
      <c r="B970" s="14" t="n"/>
      <c r="C970" s="14" t="n"/>
    </row>
    <row r="971" ht="15.75" customHeight="1" s="30">
      <c r="A971" s="14" t="n"/>
      <c r="B971" s="14" t="n"/>
      <c r="C971" s="14" t="n"/>
    </row>
    <row r="972" ht="15.75" customHeight="1" s="30">
      <c r="A972" s="14" t="n"/>
      <c r="B972" s="14" t="n"/>
      <c r="C972" s="14" t="n"/>
    </row>
    <row r="973" ht="15.75" customHeight="1" s="30">
      <c r="A973" s="14" t="n"/>
      <c r="B973" s="14" t="n"/>
      <c r="C973" s="14" t="n"/>
    </row>
    <row r="974" ht="15.75" customHeight="1" s="30">
      <c r="A974" s="14" t="n"/>
      <c r="B974" s="14" t="n"/>
      <c r="C974" s="14" t="n"/>
    </row>
    <row r="975" ht="15.75" customHeight="1" s="30">
      <c r="A975" s="14" t="n"/>
      <c r="B975" s="14" t="n"/>
      <c r="C975" s="14" t="n"/>
    </row>
    <row r="976" ht="15.75" customHeight="1" s="30">
      <c r="A976" s="14" t="n"/>
      <c r="B976" s="14" t="n"/>
      <c r="C976" s="14" t="n"/>
    </row>
    <row r="977" ht="15.75" customHeight="1" s="30">
      <c r="A977" s="14" t="n"/>
      <c r="B977" s="14" t="n"/>
      <c r="C977" s="14" t="n"/>
    </row>
    <row r="978" ht="15.75" customHeight="1" s="30">
      <c r="A978" s="14" t="n"/>
      <c r="B978" s="14" t="n"/>
      <c r="C978" s="14" t="n"/>
    </row>
    <row r="979" ht="15.75" customHeight="1" s="30">
      <c r="A979" s="14" t="n"/>
      <c r="B979" s="14" t="n"/>
      <c r="C979" s="14" t="n"/>
    </row>
    <row r="980" ht="15.75" customHeight="1" s="30">
      <c r="A980" s="14" t="n"/>
      <c r="B980" s="14" t="n"/>
      <c r="C980" s="14" t="n"/>
    </row>
    <row r="981" ht="15.75" customHeight="1" s="30">
      <c r="A981" s="14" t="n"/>
      <c r="B981" s="14" t="n"/>
      <c r="C981" s="14" t="n"/>
    </row>
    <row r="982" ht="15.75" customHeight="1" s="30">
      <c r="A982" s="14" t="n"/>
      <c r="B982" s="14" t="n"/>
      <c r="C982" s="14" t="n"/>
    </row>
    <row r="983" ht="15.75" customHeight="1" s="30">
      <c r="A983" s="14" t="n"/>
      <c r="B983" s="14" t="n"/>
      <c r="C983" s="14" t="n"/>
    </row>
    <row r="984" ht="15.75" customHeight="1" s="30">
      <c r="A984" s="14" t="n"/>
      <c r="B984" s="14" t="n"/>
      <c r="C984" s="14" t="n"/>
    </row>
    <row r="985" ht="15.75" customHeight="1" s="30">
      <c r="A985" s="14" t="n"/>
      <c r="B985" s="14" t="n"/>
      <c r="C985" s="14" t="n"/>
    </row>
    <row r="986" ht="15.75" customHeight="1" s="30">
      <c r="A986" s="14" t="n"/>
      <c r="B986" s="14" t="n"/>
      <c r="C986" s="14" t="n"/>
    </row>
    <row r="987" ht="15.75" customHeight="1" s="30">
      <c r="A987" s="14" t="n"/>
      <c r="B987" s="14" t="n"/>
      <c r="C987" s="14" t="n"/>
    </row>
    <row r="988" ht="15.75" customHeight="1" s="30">
      <c r="A988" s="14" t="n"/>
      <c r="B988" s="14" t="n"/>
      <c r="C988" s="14" t="n"/>
    </row>
    <row r="989" ht="15.75" customHeight="1" s="30">
      <c r="A989" s="14" t="n"/>
      <c r="B989" s="14" t="n"/>
      <c r="C989" s="14" t="n"/>
    </row>
    <row r="990" ht="15.75" customHeight="1" s="30">
      <c r="A990" s="14" t="n"/>
      <c r="B990" s="14" t="n"/>
      <c r="C990" s="14" t="n"/>
    </row>
    <row r="991" ht="15.75" customHeight="1" s="30">
      <c r="A991" s="14" t="n"/>
      <c r="B991" s="14" t="n"/>
      <c r="C991" s="14" t="n"/>
    </row>
    <row r="992" ht="15.75" customHeight="1" s="30">
      <c r="A992" s="14" t="n"/>
      <c r="B992" s="14" t="n"/>
      <c r="C992" s="14" t="n"/>
    </row>
    <row r="993" ht="15.75" customHeight="1" s="30">
      <c r="A993" s="14" t="n"/>
      <c r="B993" s="14" t="n"/>
      <c r="C993" s="14" t="n"/>
    </row>
    <row r="994" ht="15.75" customHeight="1" s="30">
      <c r="A994" s="14" t="n"/>
      <c r="B994" s="14" t="n"/>
      <c r="C994" s="14" t="n"/>
    </row>
    <row r="995" ht="15.75" customHeight="1" s="30">
      <c r="A995" s="14" t="n"/>
      <c r="B995" s="14" t="n"/>
      <c r="C995" s="14" t="n"/>
    </row>
    <row r="996" ht="15.75" customHeight="1" s="30">
      <c r="A996" s="14" t="n"/>
      <c r="B996" s="14" t="n"/>
      <c r="C996" s="14" t="n"/>
    </row>
    <row r="997" ht="15.75" customHeight="1" s="30">
      <c r="A997" s="14" t="n"/>
      <c r="B997" s="14" t="n"/>
      <c r="C997" s="14" t="n"/>
    </row>
    <row r="998" ht="15.75" customHeight="1" s="30">
      <c r="A998" s="14" t="n"/>
      <c r="B998" s="14" t="n"/>
      <c r="C998" s="14" t="n"/>
    </row>
    <row r="999" ht="15.75" customHeight="1" s="30">
      <c r="A999" s="14" t="n"/>
      <c r="B999" s="14" t="n"/>
      <c r="C999" s="14" t="n"/>
    </row>
    <row r="1000" ht="15.75" customHeight="1" s="30">
      <c r="A1000" s="14" t="n"/>
      <c r="B1000" s="14" t="n"/>
      <c r="C1000" s="14" t="n"/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30" min="1" max="1"/>
    <col width="8.710000000000001" customWidth="1" style="30" min="2" max="26"/>
  </cols>
  <sheetData>
    <row r="1" ht="18" customHeight="1" s="30">
      <c r="A1" s="26" t="inlineStr">
        <is>
          <t>Event-Detection Validation Workbook</t>
        </is>
      </c>
    </row>
    <row r="2" ht="23.25" customHeight="1" s="30">
      <c r="A2" s="27" t="inlineStr">
        <is>
          <t>Purpose: measure whether your Greek-news event classifier produces a clean independent variable BEFORE you build the full model.</t>
        </is>
      </c>
    </row>
    <row r="3" ht="15" customHeight="1" s="30">
      <c r="A3" s="28" t="n"/>
    </row>
    <row r="4" ht="15" customHeight="1" s="30">
      <c r="A4" s="29" t="inlineStr">
        <is>
          <t>STEP 1 — Build the ground truth (you, by hand)</t>
        </is>
      </c>
    </row>
    <row r="5" ht="45.75" customHeight="1" s="30">
      <c r="A5" s="28" t="inlineStr">
        <is>
          <t>Sample a few hundred articles across SDNA, Gazzetta, and Sportdog spanning the season. On the 'Article Labeling' sheet, fill the GREEN columns: read each article and record whether it contains a real player-relevant life event, who it concerns, the type, the event date, severity, and your confidence. Leave the orange/yellow columns for now.</t>
        </is>
      </c>
    </row>
    <row r="6" ht="15" customHeight="1" s="30">
      <c r="A6" s="28" t="n"/>
    </row>
    <row r="7" ht="15" customHeight="1" s="30">
      <c r="A7" s="29" t="inlineStr">
        <is>
          <t>STEP 2 — Run your classifier over the SAME articles</t>
        </is>
      </c>
    </row>
    <row r="8" ht="45.75" customHeight="1" s="30">
      <c r="A8" s="28" t="inlineStr">
        <is>
          <t>For each article, fill the ORANGE columns: did the classifier flag it (classifier_flagged), to which player, and what type. The match_result column (yellow) auto-computes TP/FP/FN/TN.</t>
        </is>
      </c>
    </row>
    <row r="9" ht="15" customHeight="1" s="30">
      <c r="A9" s="28" t="n"/>
    </row>
    <row r="10" ht="15" customHeight="1" s="30">
      <c r="A10" s="29" t="inlineStr">
        <is>
          <t>STEP 3 — Set your threshold BEFORE looking</t>
        </is>
      </c>
    </row>
    <row r="11" ht="45.75" customHeight="1" s="30">
      <c r="A11" s="28" t="inlineStr">
        <is>
          <t>On 'Validation Metrics', write your pass threshold for precision in the yellow cell (default 0.80). Decide this in advance so you can't rationalise a weak detector.</t>
        </is>
      </c>
    </row>
    <row r="12" ht="15" customHeight="1" s="30">
      <c r="A12" s="28" t="n"/>
    </row>
    <row r="13" ht="15" customHeight="1" s="30">
      <c r="A13" s="29" t="inlineStr">
        <is>
          <t>STEP 4 — Read the verdict</t>
        </is>
      </c>
    </row>
    <row r="14" ht="45.75" customHeight="1" s="30">
      <c r="A14" s="28" t="inlineStr">
        <is>
          <t>Precision is the load-bearing number: of the events your classifier flags, how many are real. High precision = clean independent variable. If precision fails your threshold, do NOT proceed to modeling — either improve the detector or switch to human-in-the-loop (classifier surfaces candidates, you confirm each by hand). For a single Greek season the true-event count is small enough that manual confirmation is realistic and fully defensible in a paper.</t>
        </is>
      </c>
    </row>
    <row r="15" ht="15" customHeight="1" s="30">
      <c r="A15" s="28" t="n"/>
    </row>
    <row r="16" ht="15" customHeight="1" s="30">
      <c r="A16" s="29" t="inlineStr">
        <is>
          <t>Colour key:</t>
        </is>
      </c>
    </row>
    <row r="17" ht="45.75" customHeight="1" s="30">
      <c r="A17" s="28" t="inlineStr">
        <is>
          <t>GREEN = you fill by hand   |   ORANGE = filled from classifier output   |   YELLOW = auto-computed, don't edit</t>
        </is>
      </c>
    </row>
    <row r="18" ht="15" customHeight="1" s="30">
      <c r="A18" s="28" t="n"/>
    </row>
    <row r="19" ht="45.75" customHeight="1" s="30">
      <c r="A19" s="28" t="inlineStr">
        <is>
          <t>Note on attribution: a correctly-detected event attached to the WRONG player or WRONG date is still a corrupted data point. The attribution-quality rows on the metrics sheet track this — check that classifier_player matches affected_player among your true positives.</t>
        </is>
      </c>
    </row>
    <row r="20">
      <c r="A20" s="14" t="n"/>
    </row>
    <row r="21" ht="15.75" customHeight="1" s="30">
      <c r="A21" s="14" t="n"/>
    </row>
    <row r="22" ht="15.75" customHeight="1" s="30">
      <c r="A22" s="14" t="n"/>
    </row>
    <row r="23" ht="15.75" customHeight="1" s="30">
      <c r="A23" s="14" t="n"/>
    </row>
    <row r="24" ht="15.75" customHeight="1" s="30">
      <c r="A24" s="14" t="n"/>
    </row>
    <row r="25" ht="15.75" customHeight="1" s="30">
      <c r="A25" s="14" t="n"/>
    </row>
    <row r="26" ht="15.75" customHeight="1" s="30">
      <c r="A26" s="14" t="n"/>
    </row>
    <row r="27" ht="15.75" customHeight="1" s="30">
      <c r="A27" s="14" t="n"/>
    </row>
    <row r="28" ht="15.75" customHeight="1" s="30">
      <c r="A28" s="14" t="n"/>
    </row>
    <row r="29" ht="15.75" customHeight="1" s="30">
      <c r="A29" s="14" t="n"/>
    </row>
    <row r="30" ht="15.75" customHeight="1" s="30">
      <c r="A30" s="14" t="n"/>
    </row>
    <row r="31" ht="15.75" customHeight="1" s="30">
      <c r="A31" s="14" t="n"/>
    </row>
    <row r="32" ht="15.75" customHeight="1" s="30">
      <c r="A32" s="14" t="n"/>
    </row>
    <row r="33" ht="15.75" customHeight="1" s="30">
      <c r="A33" s="14" t="n"/>
    </row>
    <row r="34" ht="15.75" customHeight="1" s="30">
      <c r="A34" s="14" t="n"/>
    </row>
    <row r="35" ht="15.75" customHeight="1" s="30">
      <c r="A35" s="14" t="n"/>
    </row>
    <row r="36" ht="15.75" customHeight="1" s="30">
      <c r="A36" s="14" t="n"/>
    </row>
    <row r="37" ht="15.75" customHeight="1" s="30">
      <c r="A37" s="14" t="n"/>
    </row>
    <row r="38" ht="15.75" customHeight="1" s="30">
      <c r="A38" s="14" t="n"/>
    </row>
    <row r="39" ht="15.75" customHeight="1" s="30">
      <c r="A39" s="14" t="n"/>
    </row>
    <row r="40" ht="15.75" customHeight="1" s="30">
      <c r="A40" s="14" t="n"/>
    </row>
    <row r="41" ht="15.75" customHeight="1" s="30">
      <c r="A41" s="14" t="n"/>
    </row>
    <row r="42" ht="15.75" customHeight="1" s="30">
      <c r="A42" s="14" t="n"/>
    </row>
    <row r="43" ht="15.75" customHeight="1" s="30">
      <c r="A43" s="14" t="n"/>
    </row>
    <row r="44" ht="15.75" customHeight="1" s="30">
      <c r="A44" s="14" t="n"/>
    </row>
    <row r="45" ht="15.75" customHeight="1" s="30">
      <c r="A45" s="14" t="n"/>
    </row>
    <row r="46" ht="15.75" customHeight="1" s="30">
      <c r="A46" s="14" t="n"/>
    </row>
    <row r="47" ht="15.75" customHeight="1" s="30">
      <c r="A47" s="14" t="n"/>
    </row>
    <row r="48" ht="15.75" customHeight="1" s="30">
      <c r="A48" s="14" t="n"/>
    </row>
    <row r="49" ht="15.75" customHeight="1" s="30">
      <c r="A49" s="14" t="n"/>
    </row>
    <row r="50" ht="15.75" customHeight="1" s="30">
      <c r="A50" s="14" t="n"/>
    </row>
    <row r="51" ht="15.75" customHeight="1" s="30">
      <c r="A51" s="14" t="n"/>
    </row>
    <row r="52" ht="15.75" customHeight="1" s="30">
      <c r="A52" s="14" t="n"/>
    </row>
    <row r="53" ht="15.75" customHeight="1" s="30">
      <c r="A53" s="14" t="n"/>
    </row>
    <row r="54" ht="15.75" customHeight="1" s="30">
      <c r="A54" s="14" t="n"/>
    </row>
    <row r="55" ht="15.75" customHeight="1" s="30">
      <c r="A55" s="14" t="n"/>
    </row>
    <row r="56" ht="15.75" customHeight="1" s="30">
      <c r="A56" s="14" t="n"/>
    </row>
    <row r="57" ht="15.75" customHeight="1" s="30">
      <c r="A57" s="14" t="n"/>
    </row>
    <row r="58" ht="15.75" customHeight="1" s="30">
      <c r="A58" s="14" t="n"/>
    </row>
    <row r="59" ht="15.75" customHeight="1" s="30">
      <c r="A59" s="14" t="n"/>
    </row>
    <row r="60" ht="15.75" customHeight="1" s="30">
      <c r="A60" s="14" t="n"/>
    </row>
    <row r="61" ht="15.75" customHeight="1" s="30">
      <c r="A61" s="14" t="n"/>
    </row>
    <row r="62" ht="15.75" customHeight="1" s="30">
      <c r="A62" s="14" t="n"/>
    </row>
    <row r="63" ht="15.75" customHeight="1" s="30">
      <c r="A63" s="14" t="n"/>
    </row>
    <row r="64" ht="15.75" customHeight="1" s="30">
      <c r="A64" s="14" t="n"/>
    </row>
    <row r="65" ht="15.75" customHeight="1" s="30">
      <c r="A65" s="14" t="n"/>
    </row>
    <row r="66" ht="15.75" customHeight="1" s="30">
      <c r="A66" s="14" t="n"/>
    </row>
    <row r="67" ht="15.75" customHeight="1" s="30">
      <c r="A67" s="14" t="n"/>
    </row>
    <row r="68" ht="15.75" customHeight="1" s="30">
      <c r="A68" s="14" t="n"/>
    </row>
    <row r="69" ht="15.75" customHeight="1" s="30">
      <c r="A69" s="14" t="n"/>
    </row>
    <row r="70" ht="15.75" customHeight="1" s="30">
      <c r="A70" s="14" t="n"/>
    </row>
    <row r="71" ht="15.75" customHeight="1" s="30">
      <c r="A71" s="14" t="n"/>
    </row>
    <row r="72" ht="15.75" customHeight="1" s="30">
      <c r="A72" s="14" t="n"/>
    </row>
    <row r="73" ht="15.75" customHeight="1" s="30">
      <c r="A73" s="14" t="n"/>
    </row>
    <row r="74" ht="15.75" customHeight="1" s="30">
      <c r="A74" s="14" t="n"/>
    </row>
    <row r="75" ht="15.75" customHeight="1" s="30">
      <c r="A75" s="14" t="n"/>
    </row>
    <row r="76" ht="15.75" customHeight="1" s="30">
      <c r="A76" s="14" t="n"/>
    </row>
    <row r="77" ht="15.75" customHeight="1" s="30">
      <c r="A77" s="14" t="n"/>
    </row>
    <row r="78" ht="15.75" customHeight="1" s="30">
      <c r="A78" s="14" t="n"/>
    </row>
    <row r="79" ht="15.75" customHeight="1" s="30">
      <c r="A79" s="14" t="n"/>
    </row>
    <row r="80" ht="15.75" customHeight="1" s="30">
      <c r="A80" s="14" t="n"/>
    </row>
    <row r="81" ht="15.75" customHeight="1" s="30">
      <c r="A81" s="14" t="n"/>
    </row>
    <row r="82" ht="15.75" customHeight="1" s="30">
      <c r="A82" s="14" t="n"/>
    </row>
    <row r="83" ht="15.75" customHeight="1" s="30">
      <c r="A83" s="14" t="n"/>
    </row>
    <row r="84" ht="15.75" customHeight="1" s="30">
      <c r="A84" s="14" t="n"/>
    </row>
    <row r="85" ht="15.75" customHeight="1" s="30">
      <c r="A85" s="14" t="n"/>
    </row>
    <row r="86" ht="15.75" customHeight="1" s="30">
      <c r="A86" s="14" t="n"/>
    </row>
    <row r="87" ht="15.75" customHeight="1" s="30">
      <c r="A87" s="14" t="n"/>
    </row>
    <row r="88" ht="15.75" customHeight="1" s="30">
      <c r="A88" s="14" t="n"/>
    </row>
    <row r="89" ht="15.75" customHeight="1" s="30">
      <c r="A89" s="14" t="n"/>
    </row>
    <row r="90" ht="15.75" customHeight="1" s="30">
      <c r="A90" s="14" t="n"/>
    </row>
    <row r="91" ht="15.75" customHeight="1" s="30">
      <c r="A91" s="14" t="n"/>
    </row>
    <row r="92" ht="15.75" customHeight="1" s="30">
      <c r="A92" s="14" t="n"/>
    </row>
    <row r="93" ht="15.75" customHeight="1" s="30">
      <c r="A93" s="14" t="n"/>
    </row>
    <row r="94" ht="15.75" customHeight="1" s="30">
      <c r="A94" s="14" t="n"/>
    </row>
    <row r="95" ht="15.75" customHeight="1" s="30">
      <c r="A95" s="14" t="n"/>
    </row>
    <row r="96" ht="15.75" customHeight="1" s="30">
      <c r="A96" s="14" t="n"/>
    </row>
    <row r="97" ht="15.75" customHeight="1" s="30">
      <c r="A97" s="14" t="n"/>
    </row>
    <row r="98" ht="15.75" customHeight="1" s="30">
      <c r="A98" s="14" t="n"/>
    </row>
    <row r="99" ht="15.75" customHeight="1" s="30">
      <c r="A99" s="14" t="n"/>
    </row>
    <row r="100" ht="15.75" customHeight="1" s="30">
      <c r="A100" s="14" t="n"/>
    </row>
    <row r="101" ht="15.75" customHeight="1" s="30">
      <c r="A101" s="14" t="n"/>
    </row>
    <row r="102" ht="15.75" customHeight="1" s="30">
      <c r="A102" s="14" t="n"/>
    </row>
    <row r="103" ht="15.75" customHeight="1" s="30">
      <c r="A103" s="14" t="n"/>
    </row>
    <row r="104" ht="15.75" customHeight="1" s="30">
      <c r="A104" s="14" t="n"/>
    </row>
    <row r="105" ht="15.75" customHeight="1" s="30">
      <c r="A105" s="14" t="n"/>
    </row>
    <row r="106" ht="15.75" customHeight="1" s="30">
      <c r="A106" s="14" t="n"/>
    </row>
    <row r="107" ht="15.75" customHeight="1" s="30">
      <c r="A107" s="14" t="n"/>
    </row>
    <row r="108" ht="15.75" customHeight="1" s="30">
      <c r="A108" s="14" t="n"/>
    </row>
    <row r="109" ht="15.75" customHeight="1" s="30">
      <c r="A109" s="14" t="n"/>
    </row>
    <row r="110" ht="15.75" customHeight="1" s="30">
      <c r="A110" s="14" t="n"/>
    </row>
    <row r="111" ht="15.75" customHeight="1" s="30">
      <c r="A111" s="14" t="n"/>
    </row>
    <row r="112" ht="15.75" customHeight="1" s="30">
      <c r="A112" s="14" t="n"/>
    </row>
    <row r="113" ht="15.75" customHeight="1" s="30">
      <c r="A113" s="14" t="n"/>
    </row>
    <row r="114" ht="15.75" customHeight="1" s="30">
      <c r="A114" s="14" t="n"/>
    </row>
    <row r="115" ht="15.75" customHeight="1" s="30">
      <c r="A115" s="14" t="n"/>
    </row>
    <row r="116" ht="15.75" customHeight="1" s="30">
      <c r="A116" s="14" t="n"/>
    </row>
    <row r="117" ht="15.75" customHeight="1" s="30">
      <c r="A117" s="14" t="n"/>
    </row>
    <row r="118" ht="15.75" customHeight="1" s="30">
      <c r="A118" s="14" t="n"/>
    </row>
    <row r="119" ht="15.75" customHeight="1" s="30">
      <c r="A119" s="14" t="n"/>
    </row>
    <row r="120" ht="15.75" customHeight="1" s="30">
      <c r="A120" s="14" t="n"/>
    </row>
    <row r="121" ht="15.75" customHeight="1" s="30">
      <c r="A121" s="14" t="n"/>
    </row>
    <row r="122" ht="15.75" customHeight="1" s="30">
      <c r="A122" s="14" t="n"/>
    </row>
    <row r="123" ht="15.75" customHeight="1" s="30">
      <c r="A123" s="14" t="n"/>
    </row>
    <row r="124" ht="15.75" customHeight="1" s="30">
      <c r="A124" s="14" t="n"/>
    </row>
    <row r="125" ht="15.75" customHeight="1" s="30">
      <c r="A125" s="14" t="n"/>
    </row>
    <row r="126" ht="15.75" customHeight="1" s="30">
      <c r="A126" s="14" t="n"/>
    </row>
    <row r="127" ht="15.75" customHeight="1" s="30">
      <c r="A127" s="14" t="n"/>
    </row>
    <row r="128" ht="15.75" customHeight="1" s="30">
      <c r="A128" s="14" t="n"/>
    </row>
    <row r="129" ht="15.75" customHeight="1" s="30">
      <c r="A129" s="14" t="n"/>
    </row>
    <row r="130" ht="15.75" customHeight="1" s="30">
      <c r="A130" s="14" t="n"/>
    </row>
    <row r="131" ht="15.75" customHeight="1" s="30">
      <c r="A131" s="14" t="n"/>
    </row>
    <row r="132" ht="15.75" customHeight="1" s="30">
      <c r="A132" s="14" t="n"/>
    </row>
    <row r="133" ht="15.75" customHeight="1" s="30">
      <c r="A133" s="14" t="n"/>
    </row>
    <row r="134" ht="15.75" customHeight="1" s="30">
      <c r="A134" s="14" t="n"/>
    </row>
    <row r="135" ht="15.75" customHeight="1" s="30">
      <c r="A135" s="14" t="n"/>
    </row>
    <row r="136" ht="15.75" customHeight="1" s="30">
      <c r="A136" s="14" t="n"/>
    </row>
    <row r="137" ht="15.75" customHeight="1" s="30">
      <c r="A137" s="14" t="n"/>
    </row>
    <row r="138" ht="15.75" customHeight="1" s="30">
      <c r="A138" s="14" t="n"/>
    </row>
    <row r="139" ht="15.75" customHeight="1" s="30">
      <c r="A139" s="14" t="n"/>
    </row>
    <row r="140" ht="15.75" customHeight="1" s="30">
      <c r="A140" s="14" t="n"/>
    </row>
    <row r="141" ht="15.75" customHeight="1" s="30">
      <c r="A141" s="14" t="n"/>
    </row>
    <row r="142" ht="15.75" customHeight="1" s="30">
      <c r="A142" s="14" t="n"/>
    </row>
    <row r="143" ht="15.75" customHeight="1" s="30">
      <c r="A143" s="14" t="n"/>
    </row>
    <row r="144" ht="15.75" customHeight="1" s="30">
      <c r="A144" s="14" t="n"/>
    </row>
    <row r="145" ht="15.75" customHeight="1" s="30">
      <c r="A145" s="14" t="n"/>
    </row>
    <row r="146" ht="15.75" customHeight="1" s="30">
      <c r="A146" s="14" t="n"/>
    </row>
    <row r="147" ht="15.75" customHeight="1" s="30">
      <c r="A147" s="14" t="n"/>
    </row>
    <row r="148" ht="15.75" customHeight="1" s="30">
      <c r="A148" s="14" t="n"/>
    </row>
    <row r="149" ht="15.75" customHeight="1" s="30">
      <c r="A149" s="14" t="n"/>
    </row>
    <row r="150" ht="15.75" customHeight="1" s="30">
      <c r="A150" s="14" t="n"/>
    </row>
    <row r="151" ht="15.75" customHeight="1" s="30">
      <c r="A151" s="14" t="n"/>
    </row>
    <row r="152" ht="15.75" customHeight="1" s="30">
      <c r="A152" s="14" t="n"/>
    </row>
    <row r="153" ht="15.75" customHeight="1" s="30">
      <c r="A153" s="14" t="n"/>
    </row>
    <row r="154" ht="15.75" customHeight="1" s="30">
      <c r="A154" s="14" t="n"/>
    </row>
    <row r="155" ht="15.75" customHeight="1" s="30">
      <c r="A155" s="14" t="n"/>
    </row>
    <row r="156" ht="15.75" customHeight="1" s="30">
      <c r="A156" s="14" t="n"/>
    </row>
    <row r="157" ht="15.75" customHeight="1" s="30">
      <c r="A157" s="14" t="n"/>
    </row>
    <row r="158" ht="15.75" customHeight="1" s="30">
      <c r="A158" s="14" t="n"/>
    </row>
    <row r="159" ht="15.75" customHeight="1" s="30">
      <c r="A159" s="14" t="n"/>
    </row>
    <row r="160" ht="15.75" customHeight="1" s="30">
      <c r="A160" s="14" t="n"/>
    </row>
    <row r="161" ht="15.75" customHeight="1" s="30">
      <c r="A161" s="14" t="n"/>
    </row>
    <row r="162" ht="15.75" customHeight="1" s="30">
      <c r="A162" s="14" t="n"/>
    </row>
    <row r="163" ht="15.75" customHeight="1" s="30">
      <c r="A163" s="14" t="n"/>
    </row>
    <row r="164" ht="15.75" customHeight="1" s="30">
      <c r="A164" s="14" t="n"/>
    </row>
    <row r="165" ht="15.75" customHeight="1" s="30">
      <c r="A165" s="14" t="n"/>
    </row>
    <row r="166" ht="15.75" customHeight="1" s="30">
      <c r="A166" s="14" t="n"/>
    </row>
    <row r="167" ht="15.75" customHeight="1" s="30">
      <c r="A167" s="14" t="n"/>
    </row>
    <row r="168" ht="15.75" customHeight="1" s="30">
      <c r="A168" s="14" t="n"/>
    </row>
    <row r="169" ht="15.75" customHeight="1" s="30">
      <c r="A169" s="14" t="n"/>
    </row>
    <row r="170" ht="15.75" customHeight="1" s="30">
      <c r="A170" s="14" t="n"/>
    </row>
    <row r="171" ht="15.75" customHeight="1" s="30">
      <c r="A171" s="14" t="n"/>
    </row>
    <row r="172" ht="15.75" customHeight="1" s="30">
      <c r="A172" s="14" t="n"/>
    </row>
    <row r="173" ht="15.75" customHeight="1" s="30">
      <c r="A173" s="14" t="n"/>
    </row>
    <row r="174" ht="15.75" customHeight="1" s="30">
      <c r="A174" s="14" t="n"/>
    </row>
    <row r="175" ht="15.75" customHeight="1" s="30">
      <c r="A175" s="14" t="n"/>
    </row>
    <row r="176" ht="15.75" customHeight="1" s="30">
      <c r="A176" s="14" t="n"/>
    </row>
    <row r="177" ht="15.75" customHeight="1" s="30">
      <c r="A177" s="14" t="n"/>
    </row>
    <row r="178" ht="15.75" customHeight="1" s="30">
      <c r="A178" s="14" t="n"/>
    </row>
    <row r="179" ht="15.75" customHeight="1" s="30">
      <c r="A179" s="14" t="n"/>
    </row>
    <row r="180" ht="15.75" customHeight="1" s="30">
      <c r="A180" s="14" t="n"/>
    </row>
    <row r="181" ht="15.75" customHeight="1" s="30">
      <c r="A181" s="14" t="n"/>
    </row>
    <row r="182" ht="15.75" customHeight="1" s="30">
      <c r="A182" s="14" t="n"/>
    </row>
    <row r="183" ht="15.75" customHeight="1" s="30">
      <c r="A183" s="14" t="n"/>
    </row>
    <row r="184" ht="15.75" customHeight="1" s="30">
      <c r="A184" s="14" t="n"/>
    </row>
    <row r="185" ht="15.75" customHeight="1" s="30">
      <c r="A185" s="14" t="n"/>
    </row>
    <row r="186" ht="15.75" customHeight="1" s="30">
      <c r="A186" s="14" t="n"/>
    </row>
    <row r="187" ht="15.75" customHeight="1" s="30">
      <c r="A187" s="14" t="n"/>
    </row>
    <row r="188" ht="15.75" customHeight="1" s="30">
      <c r="A188" s="14" t="n"/>
    </row>
    <row r="189" ht="15.75" customHeight="1" s="30">
      <c r="A189" s="14" t="n"/>
    </row>
    <row r="190" ht="15.75" customHeight="1" s="30">
      <c r="A190" s="14" t="n"/>
    </row>
    <row r="191" ht="15.75" customHeight="1" s="30">
      <c r="A191" s="14" t="n"/>
    </row>
    <row r="192" ht="15.75" customHeight="1" s="30">
      <c r="A192" s="14" t="n"/>
    </row>
    <row r="193" ht="15.75" customHeight="1" s="30">
      <c r="A193" s="14" t="n"/>
    </row>
    <row r="194" ht="15.75" customHeight="1" s="30">
      <c r="A194" s="14" t="n"/>
    </row>
    <row r="195" ht="15.75" customHeight="1" s="30">
      <c r="A195" s="14" t="n"/>
    </row>
    <row r="196" ht="15.75" customHeight="1" s="30">
      <c r="A196" s="14" t="n"/>
    </row>
    <row r="197" ht="15.75" customHeight="1" s="30">
      <c r="A197" s="14" t="n"/>
    </row>
    <row r="198" ht="15.75" customHeight="1" s="30">
      <c r="A198" s="14" t="n"/>
    </row>
    <row r="199" ht="15.75" customHeight="1" s="30">
      <c r="A199" s="14" t="n"/>
    </row>
    <row r="200" ht="15.75" customHeight="1" s="30">
      <c r="A200" s="14" t="n"/>
    </row>
    <row r="201" ht="15.75" customHeight="1" s="30">
      <c r="A201" s="14" t="n"/>
    </row>
    <row r="202" ht="15.75" customHeight="1" s="30">
      <c r="A202" s="14" t="n"/>
    </row>
    <row r="203" ht="15.75" customHeight="1" s="30">
      <c r="A203" s="14" t="n"/>
    </row>
    <row r="204" ht="15.75" customHeight="1" s="30">
      <c r="A204" s="14" t="n"/>
    </row>
    <row r="205" ht="15.75" customHeight="1" s="30">
      <c r="A205" s="14" t="n"/>
    </row>
    <row r="206" ht="15.75" customHeight="1" s="30">
      <c r="A206" s="14" t="n"/>
    </row>
    <row r="207" ht="15.75" customHeight="1" s="30">
      <c r="A207" s="14" t="n"/>
    </row>
    <row r="208" ht="15.75" customHeight="1" s="30">
      <c r="A208" s="14" t="n"/>
    </row>
    <row r="209" ht="15.75" customHeight="1" s="30">
      <c r="A209" s="14" t="n"/>
    </row>
    <row r="210" ht="15.75" customHeight="1" s="30">
      <c r="A210" s="14" t="n"/>
    </row>
    <row r="211" ht="15.75" customHeight="1" s="30">
      <c r="A211" s="14" t="n"/>
    </row>
    <row r="212" ht="15.75" customHeight="1" s="30">
      <c r="A212" s="14" t="n"/>
    </row>
    <row r="213" ht="15.75" customHeight="1" s="30">
      <c r="A213" s="14" t="n"/>
    </row>
    <row r="214" ht="15.75" customHeight="1" s="30">
      <c r="A214" s="14" t="n"/>
    </row>
    <row r="215" ht="15.75" customHeight="1" s="30">
      <c r="A215" s="14" t="n"/>
    </row>
    <row r="216" ht="15.75" customHeight="1" s="30">
      <c r="A216" s="14" t="n"/>
    </row>
    <row r="217" ht="15.75" customHeight="1" s="30">
      <c r="A217" s="14" t="n"/>
    </row>
    <row r="218" ht="15.75" customHeight="1" s="30">
      <c r="A218" s="14" t="n"/>
    </row>
    <row r="219" ht="15.75" customHeight="1" s="30">
      <c r="A219" s="14" t="n"/>
    </row>
    <row r="220" ht="15.75" customHeight="1" s="30">
      <c r="A220" s="14" t="n"/>
    </row>
    <row r="221" ht="15.75" customHeight="1" s="30">
      <c r="A221" s="14" t="n"/>
    </row>
    <row r="222" ht="15.75" customHeight="1" s="30">
      <c r="A222" s="14" t="n"/>
    </row>
    <row r="223" ht="15.75" customHeight="1" s="30">
      <c r="A223" s="14" t="n"/>
    </row>
    <row r="224" ht="15.75" customHeight="1" s="30">
      <c r="A224" s="14" t="n"/>
    </row>
    <row r="225" ht="15.75" customHeight="1" s="30">
      <c r="A225" s="14" t="n"/>
    </row>
    <row r="226" ht="15.75" customHeight="1" s="30">
      <c r="A226" s="14" t="n"/>
    </row>
    <row r="227" ht="15.75" customHeight="1" s="30">
      <c r="A227" s="14" t="n"/>
    </row>
    <row r="228" ht="15.75" customHeight="1" s="30">
      <c r="A228" s="14" t="n"/>
    </row>
    <row r="229" ht="15.75" customHeight="1" s="30">
      <c r="A229" s="14" t="n"/>
    </row>
    <row r="230" ht="15.75" customHeight="1" s="30">
      <c r="A230" s="14" t="n"/>
    </row>
    <row r="231" ht="15.75" customHeight="1" s="30">
      <c r="A231" s="14" t="n"/>
    </row>
    <row r="232" ht="15.75" customHeight="1" s="30">
      <c r="A232" s="14" t="n"/>
    </row>
    <row r="233" ht="15.75" customHeight="1" s="30">
      <c r="A233" s="14" t="n"/>
    </row>
    <row r="234" ht="15.75" customHeight="1" s="30">
      <c r="A234" s="14" t="n"/>
    </row>
    <row r="235" ht="15.75" customHeight="1" s="30">
      <c r="A235" s="14" t="n"/>
    </row>
    <row r="236" ht="15.75" customHeight="1" s="30">
      <c r="A236" s="14" t="n"/>
    </row>
    <row r="237" ht="15.75" customHeight="1" s="30">
      <c r="A237" s="14" t="n"/>
    </row>
    <row r="238" ht="15.75" customHeight="1" s="30">
      <c r="A238" s="14" t="n"/>
    </row>
    <row r="239" ht="15.75" customHeight="1" s="30">
      <c r="A239" s="14" t="n"/>
    </row>
    <row r="240" ht="15.75" customHeight="1" s="30">
      <c r="A240" s="14" t="n"/>
    </row>
    <row r="241" ht="15.75" customHeight="1" s="30">
      <c r="A241" s="14" t="n"/>
    </row>
    <row r="242" ht="15.75" customHeight="1" s="30">
      <c r="A242" s="14" t="n"/>
    </row>
    <row r="243" ht="15.75" customHeight="1" s="30">
      <c r="A243" s="14" t="n"/>
    </row>
    <row r="244" ht="15.75" customHeight="1" s="30">
      <c r="A244" s="14" t="n"/>
    </row>
    <row r="245" ht="15.75" customHeight="1" s="30">
      <c r="A245" s="14" t="n"/>
    </row>
    <row r="246" ht="15.75" customHeight="1" s="30">
      <c r="A246" s="14" t="n"/>
    </row>
    <row r="247" ht="15.75" customHeight="1" s="30">
      <c r="A247" s="14" t="n"/>
    </row>
    <row r="248" ht="15.75" customHeight="1" s="30">
      <c r="A248" s="14" t="n"/>
    </row>
    <row r="249" ht="15.75" customHeight="1" s="30">
      <c r="A249" s="14" t="n"/>
    </row>
    <row r="250" ht="15.75" customHeight="1" s="30">
      <c r="A250" s="14" t="n"/>
    </row>
    <row r="251" ht="15.75" customHeight="1" s="30">
      <c r="A251" s="14" t="n"/>
    </row>
    <row r="252" ht="15.75" customHeight="1" s="30">
      <c r="A252" s="14" t="n"/>
    </row>
    <row r="253" ht="15.75" customHeight="1" s="30">
      <c r="A253" s="14" t="n"/>
    </row>
    <row r="254" ht="15.75" customHeight="1" s="30">
      <c r="A254" s="14" t="n"/>
    </row>
    <row r="255" ht="15.75" customHeight="1" s="30">
      <c r="A255" s="14" t="n"/>
    </row>
    <row r="256" ht="15.75" customHeight="1" s="30">
      <c r="A256" s="14" t="n"/>
    </row>
    <row r="257" ht="15.75" customHeight="1" s="30">
      <c r="A257" s="14" t="n"/>
    </row>
    <row r="258" ht="15.75" customHeight="1" s="30">
      <c r="A258" s="14" t="n"/>
    </row>
    <row r="259" ht="15.75" customHeight="1" s="30">
      <c r="A259" s="14" t="n"/>
    </row>
    <row r="260" ht="15.75" customHeight="1" s="30">
      <c r="A260" s="14" t="n"/>
    </row>
    <row r="261" ht="15.75" customHeight="1" s="30">
      <c r="A261" s="14" t="n"/>
    </row>
    <row r="262" ht="15.75" customHeight="1" s="30">
      <c r="A262" s="14" t="n"/>
    </row>
    <row r="263" ht="15.75" customHeight="1" s="30">
      <c r="A263" s="14" t="n"/>
    </row>
    <row r="264" ht="15.75" customHeight="1" s="30">
      <c r="A264" s="14" t="n"/>
    </row>
    <row r="265" ht="15.75" customHeight="1" s="30">
      <c r="A265" s="14" t="n"/>
    </row>
    <row r="266" ht="15.75" customHeight="1" s="30">
      <c r="A266" s="14" t="n"/>
    </row>
    <row r="267" ht="15.75" customHeight="1" s="30">
      <c r="A267" s="14" t="n"/>
    </row>
    <row r="268" ht="15.75" customHeight="1" s="30">
      <c r="A268" s="14" t="n"/>
    </row>
    <row r="269" ht="15.75" customHeight="1" s="30">
      <c r="A269" s="14" t="n"/>
    </row>
    <row r="270" ht="15.75" customHeight="1" s="30">
      <c r="A270" s="14" t="n"/>
    </row>
    <row r="271" ht="15.75" customHeight="1" s="30">
      <c r="A271" s="14" t="n"/>
    </row>
    <row r="272" ht="15.75" customHeight="1" s="30">
      <c r="A272" s="14" t="n"/>
    </row>
    <row r="273" ht="15.75" customHeight="1" s="30">
      <c r="A273" s="14" t="n"/>
    </row>
    <row r="274" ht="15.75" customHeight="1" s="30">
      <c r="A274" s="14" t="n"/>
    </row>
    <row r="275" ht="15.75" customHeight="1" s="30">
      <c r="A275" s="14" t="n"/>
    </row>
    <row r="276" ht="15.75" customHeight="1" s="30">
      <c r="A276" s="14" t="n"/>
    </row>
    <row r="277" ht="15.75" customHeight="1" s="30">
      <c r="A277" s="14" t="n"/>
    </row>
    <row r="278" ht="15.75" customHeight="1" s="30">
      <c r="A278" s="14" t="n"/>
    </row>
    <row r="279" ht="15.75" customHeight="1" s="30">
      <c r="A279" s="14" t="n"/>
    </row>
    <row r="280" ht="15.75" customHeight="1" s="30">
      <c r="A280" s="14" t="n"/>
    </row>
    <row r="281" ht="15.75" customHeight="1" s="30">
      <c r="A281" s="14" t="n"/>
    </row>
    <row r="282" ht="15.75" customHeight="1" s="30">
      <c r="A282" s="14" t="n"/>
    </row>
    <row r="283" ht="15.75" customHeight="1" s="30">
      <c r="A283" s="14" t="n"/>
    </row>
    <row r="284" ht="15.75" customHeight="1" s="30">
      <c r="A284" s="14" t="n"/>
    </row>
    <row r="285" ht="15.75" customHeight="1" s="30">
      <c r="A285" s="14" t="n"/>
    </row>
    <row r="286" ht="15.75" customHeight="1" s="30">
      <c r="A286" s="14" t="n"/>
    </row>
    <row r="287" ht="15.75" customHeight="1" s="30">
      <c r="A287" s="14" t="n"/>
    </row>
    <row r="288" ht="15.75" customHeight="1" s="30">
      <c r="A288" s="14" t="n"/>
    </row>
    <row r="289" ht="15.75" customHeight="1" s="30">
      <c r="A289" s="14" t="n"/>
    </row>
    <row r="290" ht="15.75" customHeight="1" s="30">
      <c r="A290" s="14" t="n"/>
    </row>
    <row r="291" ht="15.75" customHeight="1" s="30">
      <c r="A291" s="14" t="n"/>
    </row>
    <row r="292" ht="15.75" customHeight="1" s="30">
      <c r="A292" s="14" t="n"/>
    </row>
    <row r="293" ht="15.75" customHeight="1" s="30">
      <c r="A293" s="14" t="n"/>
    </row>
    <row r="294" ht="15.75" customHeight="1" s="30">
      <c r="A294" s="14" t="n"/>
    </row>
    <row r="295" ht="15.75" customHeight="1" s="30">
      <c r="A295" s="14" t="n"/>
    </row>
    <row r="296" ht="15.75" customHeight="1" s="30">
      <c r="A296" s="14" t="n"/>
    </row>
    <row r="297" ht="15.75" customHeight="1" s="30">
      <c r="A297" s="14" t="n"/>
    </row>
    <row r="298" ht="15.75" customHeight="1" s="30">
      <c r="A298" s="14" t="n"/>
    </row>
    <row r="299" ht="15.75" customHeight="1" s="30">
      <c r="A299" s="14" t="n"/>
    </row>
    <row r="300" ht="15.75" customHeight="1" s="30">
      <c r="A300" s="14" t="n"/>
    </row>
    <row r="301" ht="15.75" customHeight="1" s="30">
      <c r="A301" s="14" t="n"/>
    </row>
    <row r="302" ht="15.75" customHeight="1" s="30">
      <c r="A302" s="14" t="n"/>
    </row>
    <row r="303" ht="15.75" customHeight="1" s="30">
      <c r="A303" s="14" t="n"/>
    </row>
    <row r="304" ht="15.75" customHeight="1" s="30">
      <c r="A304" s="14" t="n"/>
    </row>
    <row r="305" ht="15.75" customHeight="1" s="30">
      <c r="A305" s="14" t="n"/>
    </row>
    <row r="306" ht="15.75" customHeight="1" s="30">
      <c r="A306" s="14" t="n"/>
    </row>
    <row r="307" ht="15.75" customHeight="1" s="30">
      <c r="A307" s="14" t="n"/>
    </row>
    <row r="308" ht="15.75" customHeight="1" s="30">
      <c r="A308" s="14" t="n"/>
    </row>
    <row r="309" ht="15.75" customHeight="1" s="30">
      <c r="A309" s="14" t="n"/>
    </row>
    <row r="310" ht="15.75" customHeight="1" s="30">
      <c r="A310" s="14" t="n"/>
    </row>
    <row r="311" ht="15.75" customHeight="1" s="30">
      <c r="A311" s="14" t="n"/>
    </row>
    <row r="312" ht="15.75" customHeight="1" s="30">
      <c r="A312" s="14" t="n"/>
    </row>
    <row r="313" ht="15.75" customHeight="1" s="30">
      <c r="A313" s="14" t="n"/>
    </row>
    <row r="314" ht="15.75" customHeight="1" s="30">
      <c r="A314" s="14" t="n"/>
    </row>
    <row r="315" ht="15.75" customHeight="1" s="30">
      <c r="A315" s="14" t="n"/>
    </row>
    <row r="316" ht="15.75" customHeight="1" s="30">
      <c r="A316" s="14" t="n"/>
    </row>
    <row r="317" ht="15.75" customHeight="1" s="30">
      <c r="A317" s="14" t="n"/>
    </row>
    <row r="318" ht="15.75" customHeight="1" s="30">
      <c r="A318" s="14" t="n"/>
    </row>
    <row r="319" ht="15.75" customHeight="1" s="30">
      <c r="A319" s="14" t="n"/>
    </row>
    <row r="320" ht="15.75" customHeight="1" s="30">
      <c r="A320" s="14" t="n"/>
    </row>
    <row r="321" ht="15.75" customHeight="1" s="30">
      <c r="A321" s="14" t="n"/>
    </row>
    <row r="322" ht="15.75" customHeight="1" s="30">
      <c r="A322" s="14" t="n"/>
    </row>
    <row r="323" ht="15.75" customHeight="1" s="30">
      <c r="A323" s="14" t="n"/>
    </row>
    <row r="324" ht="15.75" customHeight="1" s="30">
      <c r="A324" s="14" t="n"/>
    </row>
    <row r="325" ht="15.75" customHeight="1" s="30">
      <c r="A325" s="14" t="n"/>
    </row>
    <row r="326" ht="15.75" customHeight="1" s="30">
      <c r="A326" s="14" t="n"/>
    </row>
    <row r="327" ht="15.75" customHeight="1" s="30">
      <c r="A327" s="14" t="n"/>
    </row>
    <row r="328" ht="15.75" customHeight="1" s="30">
      <c r="A328" s="14" t="n"/>
    </row>
    <row r="329" ht="15.75" customHeight="1" s="30">
      <c r="A329" s="14" t="n"/>
    </row>
    <row r="330" ht="15.75" customHeight="1" s="30">
      <c r="A330" s="14" t="n"/>
    </row>
    <row r="331" ht="15.75" customHeight="1" s="30">
      <c r="A331" s="14" t="n"/>
    </row>
    <row r="332" ht="15.75" customHeight="1" s="30">
      <c r="A332" s="14" t="n"/>
    </row>
    <row r="333" ht="15.75" customHeight="1" s="30">
      <c r="A333" s="14" t="n"/>
    </row>
    <row r="334" ht="15.75" customHeight="1" s="30">
      <c r="A334" s="14" t="n"/>
    </row>
    <row r="335" ht="15.75" customHeight="1" s="30">
      <c r="A335" s="14" t="n"/>
    </row>
    <row r="336" ht="15.75" customHeight="1" s="30">
      <c r="A336" s="14" t="n"/>
    </row>
    <row r="337" ht="15.75" customHeight="1" s="30">
      <c r="A337" s="14" t="n"/>
    </row>
    <row r="338" ht="15.75" customHeight="1" s="30">
      <c r="A338" s="14" t="n"/>
    </row>
    <row r="339" ht="15.75" customHeight="1" s="30">
      <c r="A339" s="14" t="n"/>
    </row>
    <row r="340" ht="15.75" customHeight="1" s="30">
      <c r="A340" s="14" t="n"/>
    </row>
    <row r="341" ht="15.75" customHeight="1" s="30">
      <c r="A341" s="14" t="n"/>
    </row>
    <row r="342" ht="15.75" customHeight="1" s="30">
      <c r="A342" s="14" t="n"/>
    </row>
    <row r="343" ht="15.75" customHeight="1" s="30">
      <c r="A343" s="14" t="n"/>
    </row>
    <row r="344" ht="15.75" customHeight="1" s="30">
      <c r="A344" s="14" t="n"/>
    </row>
    <row r="345" ht="15.75" customHeight="1" s="30">
      <c r="A345" s="14" t="n"/>
    </row>
    <row r="346" ht="15.75" customHeight="1" s="30">
      <c r="A346" s="14" t="n"/>
    </row>
    <row r="347" ht="15.75" customHeight="1" s="30">
      <c r="A347" s="14" t="n"/>
    </row>
    <row r="348" ht="15.75" customHeight="1" s="30">
      <c r="A348" s="14" t="n"/>
    </row>
    <row r="349" ht="15.75" customHeight="1" s="30">
      <c r="A349" s="14" t="n"/>
    </row>
    <row r="350" ht="15.75" customHeight="1" s="30">
      <c r="A350" s="14" t="n"/>
    </row>
    <row r="351" ht="15.75" customHeight="1" s="30">
      <c r="A351" s="14" t="n"/>
    </row>
    <row r="352" ht="15.75" customHeight="1" s="30">
      <c r="A352" s="14" t="n"/>
    </row>
    <row r="353" ht="15.75" customHeight="1" s="30">
      <c r="A353" s="14" t="n"/>
    </row>
    <row r="354" ht="15.75" customHeight="1" s="30">
      <c r="A354" s="14" t="n"/>
    </row>
    <row r="355" ht="15.75" customHeight="1" s="30">
      <c r="A355" s="14" t="n"/>
    </row>
    <row r="356" ht="15.75" customHeight="1" s="30">
      <c r="A356" s="14" t="n"/>
    </row>
    <row r="357" ht="15.75" customHeight="1" s="30">
      <c r="A357" s="14" t="n"/>
    </row>
    <row r="358" ht="15.75" customHeight="1" s="30">
      <c r="A358" s="14" t="n"/>
    </row>
    <row r="359" ht="15.75" customHeight="1" s="30">
      <c r="A359" s="14" t="n"/>
    </row>
    <row r="360" ht="15.75" customHeight="1" s="30">
      <c r="A360" s="14" t="n"/>
    </row>
    <row r="361" ht="15.75" customHeight="1" s="30">
      <c r="A361" s="14" t="n"/>
    </row>
    <row r="362" ht="15.75" customHeight="1" s="30">
      <c r="A362" s="14" t="n"/>
    </row>
    <row r="363" ht="15.75" customHeight="1" s="30">
      <c r="A363" s="14" t="n"/>
    </row>
    <row r="364" ht="15.75" customHeight="1" s="30">
      <c r="A364" s="14" t="n"/>
    </row>
    <row r="365" ht="15.75" customHeight="1" s="30">
      <c r="A365" s="14" t="n"/>
    </row>
    <row r="366" ht="15.75" customHeight="1" s="30">
      <c r="A366" s="14" t="n"/>
    </row>
    <row r="367" ht="15.75" customHeight="1" s="30">
      <c r="A367" s="14" t="n"/>
    </row>
    <row r="368" ht="15.75" customHeight="1" s="30">
      <c r="A368" s="14" t="n"/>
    </row>
    <row r="369" ht="15.75" customHeight="1" s="30">
      <c r="A369" s="14" t="n"/>
    </row>
    <row r="370" ht="15.75" customHeight="1" s="30">
      <c r="A370" s="14" t="n"/>
    </row>
    <row r="371" ht="15.75" customHeight="1" s="30">
      <c r="A371" s="14" t="n"/>
    </row>
    <row r="372" ht="15.75" customHeight="1" s="30">
      <c r="A372" s="14" t="n"/>
    </row>
    <row r="373" ht="15.75" customHeight="1" s="30">
      <c r="A373" s="14" t="n"/>
    </row>
    <row r="374" ht="15.75" customHeight="1" s="30">
      <c r="A374" s="14" t="n"/>
    </row>
    <row r="375" ht="15.75" customHeight="1" s="30">
      <c r="A375" s="14" t="n"/>
    </row>
    <row r="376" ht="15.75" customHeight="1" s="30">
      <c r="A376" s="14" t="n"/>
    </row>
    <row r="377" ht="15.75" customHeight="1" s="30">
      <c r="A377" s="14" t="n"/>
    </row>
    <row r="378" ht="15.75" customHeight="1" s="30">
      <c r="A378" s="14" t="n"/>
    </row>
    <row r="379" ht="15.75" customHeight="1" s="30">
      <c r="A379" s="14" t="n"/>
    </row>
    <row r="380" ht="15.75" customHeight="1" s="30">
      <c r="A380" s="14" t="n"/>
    </row>
    <row r="381" ht="15.75" customHeight="1" s="30">
      <c r="A381" s="14" t="n"/>
    </row>
    <row r="382" ht="15.75" customHeight="1" s="30">
      <c r="A382" s="14" t="n"/>
    </row>
    <row r="383" ht="15.75" customHeight="1" s="30">
      <c r="A383" s="14" t="n"/>
    </row>
    <row r="384" ht="15.75" customHeight="1" s="30">
      <c r="A384" s="14" t="n"/>
    </row>
    <row r="385" ht="15.75" customHeight="1" s="30">
      <c r="A385" s="14" t="n"/>
    </row>
    <row r="386" ht="15.75" customHeight="1" s="30">
      <c r="A386" s="14" t="n"/>
    </row>
    <row r="387" ht="15.75" customHeight="1" s="30">
      <c r="A387" s="14" t="n"/>
    </row>
    <row r="388" ht="15.75" customHeight="1" s="30">
      <c r="A388" s="14" t="n"/>
    </row>
    <row r="389" ht="15.75" customHeight="1" s="30">
      <c r="A389" s="14" t="n"/>
    </row>
    <row r="390" ht="15.75" customHeight="1" s="30">
      <c r="A390" s="14" t="n"/>
    </row>
    <row r="391" ht="15.75" customHeight="1" s="30">
      <c r="A391" s="14" t="n"/>
    </row>
    <row r="392" ht="15.75" customHeight="1" s="30">
      <c r="A392" s="14" t="n"/>
    </row>
    <row r="393" ht="15.75" customHeight="1" s="30">
      <c r="A393" s="14" t="n"/>
    </row>
    <row r="394" ht="15.75" customHeight="1" s="30">
      <c r="A394" s="14" t="n"/>
    </row>
    <row r="395" ht="15.75" customHeight="1" s="30">
      <c r="A395" s="14" t="n"/>
    </row>
    <row r="396" ht="15.75" customHeight="1" s="30">
      <c r="A396" s="14" t="n"/>
    </row>
    <row r="397" ht="15.75" customHeight="1" s="30">
      <c r="A397" s="14" t="n"/>
    </row>
    <row r="398" ht="15.75" customHeight="1" s="30">
      <c r="A398" s="14" t="n"/>
    </row>
    <row r="399" ht="15.75" customHeight="1" s="30">
      <c r="A399" s="14" t="n"/>
    </row>
    <row r="400" ht="15.75" customHeight="1" s="30">
      <c r="A400" s="14" t="n"/>
    </row>
    <row r="401" ht="15.75" customHeight="1" s="30">
      <c r="A401" s="14" t="n"/>
    </row>
    <row r="402" ht="15.75" customHeight="1" s="30">
      <c r="A402" s="14" t="n"/>
    </row>
    <row r="403" ht="15.75" customHeight="1" s="30">
      <c r="A403" s="14" t="n"/>
    </row>
    <row r="404" ht="15.75" customHeight="1" s="30">
      <c r="A404" s="14" t="n"/>
    </row>
    <row r="405" ht="15.75" customHeight="1" s="30">
      <c r="A405" s="14" t="n"/>
    </row>
    <row r="406" ht="15.75" customHeight="1" s="30">
      <c r="A406" s="14" t="n"/>
    </row>
    <row r="407" ht="15.75" customHeight="1" s="30">
      <c r="A407" s="14" t="n"/>
    </row>
    <row r="408" ht="15.75" customHeight="1" s="30">
      <c r="A408" s="14" t="n"/>
    </row>
    <row r="409" ht="15.75" customHeight="1" s="30">
      <c r="A409" s="14" t="n"/>
    </row>
    <row r="410" ht="15.75" customHeight="1" s="30">
      <c r="A410" s="14" t="n"/>
    </row>
    <row r="411" ht="15.75" customHeight="1" s="30">
      <c r="A411" s="14" t="n"/>
    </row>
    <row r="412" ht="15.75" customHeight="1" s="30">
      <c r="A412" s="14" t="n"/>
    </row>
    <row r="413" ht="15.75" customHeight="1" s="30">
      <c r="A413" s="14" t="n"/>
    </row>
    <row r="414" ht="15.75" customHeight="1" s="30">
      <c r="A414" s="14" t="n"/>
    </row>
    <row r="415" ht="15.75" customHeight="1" s="30">
      <c r="A415" s="14" t="n"/>
    </row>
    <row r="416" ht="15.75" customHeight="1" s="30">
      <c r="A416" s="14" t="n"/>
    </row>
    <row r="417" ht="15.75" customHeight="1" s="30">
      <c r="A417" s="14" t="n"/>
    </row>
    <row r="418" ht="15.75" customHeight="1" s="30">
      <c r="A418" s="14" t="n"/>
    </row>
    <row r="419" ht="15.75" customHeight="1" s="30">
      <c r="A419" s="14" t="n"/>
    </row>
    <row r="420" ht="15.75" customHeight="1" s="30">
      <c r="A420" s="14" t="n"/>
    </row>
    <row r="421" ht="15.75" customHeight="1" s="30">
      <c r="A421" s="14" t="n"/>
    </row>
    <row r="422" ht="15.75" customHeight="1" s="30">
      <c r="A422" s="14" t="n"/>
    </row>
    <row r="423" ht="15.75" customHeight="1" s="30">
      <c r="A423" s="14" t="n"/>
    </row>
    <row r="424" ht="15.75" customHeight="1" s="30">
      <c r="A424" s="14" t="n"/>
    </row>
    <row r="425" ht="15.75" customHeight="1" s="30">
      <c r="A425" s="14" t="n"/>
    </row>
    <row r="426" ht="15.75" customHeight="1" s="30">
      <c r="A426" s="14" t="n"/>
    </row>
    <row r="427" ht="15.75" customHeight="1" s="30">
      <c r="A427" s="14" t="n"/>
    </row>
    <row r="428" ht="15.75" customHeight="1" s="30">
      <c r="A428" s="14" t="n"/>
    </row>
    <row r="429" ht="15.75" customHeight="1" s="30">
      <c r="A429" s="14" t="n"/>
    </row>
    <row r="430" ht="15.75" customHeight="1" s="30">
      <c r="A430" s="14" t="n"/>
    </row>
    <row r="431" ht="15.75" customHeight="1" s="30">
      <c r="A431" s="14" t="n"/>
    </row>
    <row r="432" ht="15.75" customHeight="1" s="30">
      <c r="A432" s="14" t="n"/>
    </row>
    <row r="433" ht="15.75" customHeight="1" s="30">
      <c r="A433" s="14" t="n"/>
    </row>
    <row r="434" ht="15.75" customHeight="1" s="30">
      <c r="A434" s="14" t="n"/>
    </row>
    <row r="435" ht="15.75" customHeight="1" s="30">
      <c r="A435" s="14" t="n"/>
    </row>
    <row r="436" ht="15.75" customHeight="1" s="30">
      <c r="A436" s="14" t="n"/>
    </row>
    <row r="437" ht="15.75" customHeight="1" s="30">
      <c r="A437" s="14" t="n"/>
    </row>
    <row r="438" ht="15.75" customHeight="1" s="30">
      <c r="A438" s="14" t="n"/>
    </row>
    <row r="439" ht="15.75" customHeight="1" s="30">
      <c r="A439" s="14" t="n"/>
    </row>
    <row r="440" ht="15.75" customHeight="1" s="30">
      <c r="A440" s="14" t="n"/>
    </row>
    <row r="441" ht="15.75" customHeight="1" s="30">
      <c r="A441" s="14" t="n"/>
    </row>
    <row r="442" ht="15.75" customHeight="1" s="30">
      <c r="A442" s="14" t="n"/>
    </row>
    <row r="443" ht="15.75" customHeight="1" s="30">
      <c r="A443" s="14" t="n"/>
    </row>
    <row r="444" ht="15.75" customHeight="1" s="30">
      <c r="A444" s="14" t="n"/>
    </row>
    <row r="445" ht="15.75" customHeight="1" s="30">
      <c r="A445" s="14" t="n"/>
    </row>
    <row r="446" ht="15.75" customHeight="1" s="30">
      <c r="A446" s="14" t="n"/>
    </row>
    <row r="447" ht="15.75" customHeight="1" s="30">
      <c r="A447" s="14" t="n"/>
    </row>
    <row r="448" ht="15.75" customHeight="1" s="30">
      <c r="A448" s="14" t="n"/>
    </row>
    <row r="449" ht="15.75" customHeight="1" s="30">
      <c r="A449" s="14" t="n"/>
    </row>
    <row r="450" ht="15.75" customHeight="1" s="30">
      <c r="A450" s="14" t="n"/>
    </row>
    <row r="451" ht="15.75" customHeight="1" s="30">
      <c r="A451" s="14" t="n"/>
    </row>
    <row r="452" ht="15.75" customHeight="1" s="30">
      <c r="A452" s="14" t="n"/>
    </row>
    <row r="453" ht="15.75" customHeight="1" s="30">
      <c r="A453" s="14" t="n"/>
    </row>
    <row r="454" ht="15.75" customHeight="1" s="30">
      <c r="A454" s="14" t="n"/>
    </row>
    <row r="455" ht="15.75" customHeight="1" s="30">
      <c r="A455" s="14" t="n"/>
    </row>
    <row r="456" ht="15.75" customHeight="1" s="30">
      <c r="A456" s="14" t="n"/>
    </row>
    <row r="457" ht="15.75" customHeight="1" s="30">
      <c r="A457" s="14" t="n"/>
    </row>
    <row r="458" ht="15.75" customHeight="1" s="30">
      <c r="A458" s="14" t="n"/>
    </row>
    <row r="459" ht="15.75" customHeight="1" s="30">
      <c r="A459" s="14" t="n"/>
    </row>
    <row r="460" ht="15.75" customHeight="1" s="30">
      <c r="A460" s="14" t="n"/>
    </row>
    <row r="461" ht="15.75" customHeight="1" s="30">
      <c r="A461" s="14" t="n"/>
    </row>
    <row r="462" ht="15.75" customHeight="1" s="30">
      <c r="A462" s="14" t="n"/>
    </row>
    <row r="463" ht="15.75" customHeight="1" s="30">
      <c r="A463" s="14" t="n"/>
    </row>
    <row r="464" ht="15.75" customHeight="1" s="30">
      <c r="A464" s="14" t="n"/>
    </row>
    <row r="465" ht="15.75" customHeight="1" s="30">
      <c r="A465" s="14" t="n"/>
    </row>
    <row r="466" ht="15.75" customHeight="1" s="30">
      <c r="A466" s="14" t="n"/>
    </row>
    <row r="467" ht="15.75" customHeight="1" s="30">
      <c r="A467" s="14" t="n"/>
    </row>
    <row r="468" ht="15.75" customHeight="1" s="30">
      <c r="A468" s="14" t="n"/>
    </row>
    <row r="469" ht="15.75" customHeight="1" s="30">
      <c r="A469" s="14" t="n"/>
    </row>
    <row r="470" ht="15.75" customHeight="1" s="30">
      <c r="A470" s="14" t="n"/>
    </row>
    <row r="471" ht="15.75" customHeight="1" s="30">
      <c r="A471" s="14" t="n"/>
    </row>
    <row r="472" ht="15.75" customHeight="1" s="30">
      <c r="A472" s="14" t="n"/>
    </row>
    <row r="473" ht="15.75" customHeight="1" s="30">
      <c r="A473" s="14" t="n"/>
    </row>
    <row r="474" ht="15.75" customHeight="1" s="30">
      <c r="A474" s="14" t="n"/>
    </row>
    <row r="475" ht="15.75" customHeight="1" s="30">
      <c r="A475" s="14" t="n"/>
    </row>
    <row r="476" ht="15.75" customHeight="1" s="30">
      <c r="A476" s="14" t="n"/>
    </row>
    <row r="477" ht="15.75" customHeight="1" s="30">
      <c r="A477" s="14" t="n"/>
    </row>
    <row r="478" ht="15.75" customHeight="1" s="30">
      <c r="A478" s="14" t="n"/>
    </row>
    <row r="479" ht="15.75" customHeight="1" s="30">
      <c r="A479" s="14" t="n"/>
    </row>
    <row r="480" ht="15.75" customHeight="1" s="30">
      <c r="A480" s="14" t="n"/>
    </row>
    <row r="481" ht="15.75" customHeight="1" s="30">
      <c r="A481" s="14" t="n"/>
    </row>
    <row r="482" ht="15.75" customHeight="1" s="30">
      <c r="A482" s="14" t="n"/>
    </row>
    <row r="483" ht="15.75" customHeight="1" s="30">
      <c r="A483" s="14" t="n"/>
    </row>
    <row r="484" ht="15.75" customHeight="1" s="30">
      <c r="A484" s="14" t="n"/>
    </row>
    <row r="485" ht="15.75" customHeight="1" s="30">
      <c r="A485" s="14" t="n"/>
    </row>
    <row r="486" ht="15.75" customHeight="1" s="30">
      <c r="A486" s="14" t="n"/>
    </row>
    <row r="487" ht="15.75" customHeight="1" s="30">
      <c r="A487" s="14" t="n"/>
    </row>
    <row r="488" ht="15.75" customHeight="1" s="30">
      <c r="A488" s="14" t="n"/>
    </row>
    <row r="489" ht="15.75" customHeight="1" s="30">
      <c r="A489" s="14" t="n"/>
    </row>
    <row r="490" ht="15.75" customHeight="1" s="30">
      <c r="A490" s="14" t="n"/>
    </row>
    <row r="491" ht="15.75" customHeight="1" s="30">
      <c r="A491" s="14" t="n"/>
    </row>
    <row r="492" ht="15.75" customHeight="1" s="30">
      <c r="A492" s="14" t="n"/>
    </row>
    <row r="493" ht="15.75" customHeight="1" s="30">
      <c r="A493" s="14" t="n"/>
    </row>
    <row r="494" ht="15.75" customHeight="1" s="30">
      <c r="A494" s="14" t="n"/>
    </row>
    <row r="495" ht="15.75" customHeight="1" s="30">
      <c r="A495" s="14" t="n"/>
    </row>
    <row r="496" ht="15.75" customHeight="1" s="30">
      <c r="A496" s="14" t="n"/>
    </row>
    <row r="497" ht="15.75" customHeight="1" s="30">
      <c r="A497" s="14" t="n"/>
    </row>
    <row r="498" ht="15.75" customHeight="1" s="30">
      <c r="A498" s="14" t="n"/>
    </row>
    <row r="499" ht="15.75" customHeight="1" s="30">
      <c r="A499" s="14" t="n"/>
    </row>
    <row r="500" ht="15.75" customHeight="1" s="30">
      <c r="A500" s="14" t="n"/>
    </row>
    <row r="501" ht="15.75" customHeight="1" s="30">
      <c r="A501" s="14" t="n"/>
    </row>
    <row r="502" ht="15.75" customHeight="1" s="30">
      <c r="A502" s="14" t="n"/>
    </row>
    <row r="503" ht="15.75" customHeight="1" s="30">
      <c r="A503" s="14" t="n"/>
    </row>
    <row r="504" ht="15.75" customHeight="1" s="30">
      <c r="A504" s="14" t="n"/>
    </row>
    <row r="505" ht="15.75" customHeight="1" s="30">
      <c r="A505" s="14" t="n"/>
    </row>
    <row r="506" ht="15.75" customHeight="1" s="30">
      <c r="A506" s="14" t="n"/>
    </row>
    <row r="507" ht="15.75" customHeight="1" s="30">
      <c r="A507" s="14" t="n"/>
    </row>
    <row r="508" ht="15.75" customHeight="1" s="30">
      <c r="A508" s="14" t="n"/>
    </row>
    <row r="509" ht="15.75" customHeight="1" s="30">
      <c r="A509" s="14" t="n"/>
    </row>
    <row r="510" ht="15.75" customHeight="1" s="30">
      <c r="A510" s="14" t="n"/>
    </row>
    <row r="511" ht="15.75" customHeight="1" s="30">
      <c r="A511" s="14" t="n"/>
    </row>
    <row r="512" ht="15.75" customHeight="1" s="30">
      <c r="A512" s="14" t="n"/>
    </row>
    <row r="513" ht="15.75" customHeight="1" s="30">
      <c r="A513" s="14" t="n"/>
    </row>
    <row r="514" ht="15.75" customHeight="1" s="30">
      <c r="A514" s="14" t="n"/>
    </row>
    <row r="515" ht="15.75" customHeight="1" s="30">
      <c r="A515" s="14" t="n"/>
    </row>
    <row r="516" ht="15.75" customHeight="1" s="30">
      <c r="A516" s="14" t="n"/>
    </row>
    <row r="517" ht="15.75" customHeight="1" s="30">
      <c r="A517" s="14" t="n"/>
    </row>
    <row r="518" ht="15.75" customHeight="1" s="30">
      <c r="A518" s="14" t="n"/>
    </row>
    <row r="519" ht="15.75" customHeight="1" s="30">
      <c r="A519" s="14" t="n"/>
    </row>
    <row r="520" ht="15.75" customHeight="1" s="30">
      <c r="A520" s="14" t="n"/>
    </row>
    <row r="521" ht="15.75" customHeight="1" s="30">
      <c r="A521" s="14" t="n"/>
    </row>
    <row r="522" ht="15.75" customHeight="1" s="30">
      <c r="A522" s="14" t="n"/>
    </row>
    <row r="523" ht="15.75" customHeight="1" s="30">
      <c r="A523" s="14" t="n"/>
    </row>
    <row r="524" ht="15.75" customHeight="1" s="30">
      <c r="A524" s="14" t="n"/>
    </row>
    <row r="525" ht="15.75" customHeight="1" s="30">
      <c r="A525" s="14" t="n"/>
    </row>
    <row r="526" ht="15.75" customHeight="1" s="30">
      <c r="A526" s="14" t="n"/>
    </row>
    <row r="527" ht="15.75" customHeight="1" s="30">
      <c r="A527" s="14" t="n"/>
    </row>
    <row r="528" ht="15.75" customHeight="1" s="30">
      <c r="A528" s="14" t="n"/>
    </row>
    <row r="529" ht="15.75" customHeight="1" s="30">
      <c r="A529" s="14" t="n"/>
    </row>
    <row r="530" ht="15.75" customHeight="1" s="30">
      <c r="A530" s="14" t="n"/>
    </row>
    <row r="531" ht="15.75" customHeight="1" s="30">
      <c r="A531" s="14" t="n"/>
    </row>
    <row r="532" ht="15.75" customHeight="1" s="30">
      <c r="A532" s="14" t="n"/>
    </row>
    <row r="533" ht="15.75" customHeight="1" s="30">
      <c r="A533" s="14" t="n"/>
    </row>
    <row r="534" ht="15.75" customHeight="1" s="30">
      <c r="A534" s="14" t="n"/>
    </row>
    <row r="535" ht="15.75" customHeight="1" s="30">
      <c r="A535" s="14" t="n"/>
    </row>
    <row r="536" ht="15.75" customHeight="1" s="30">
      <c r="A536" s="14" t="n"/>
    </row>
    <row r="537" ht="15.75" customHeight="1" s="30">
      <c r="A537" s="14" t="n"/>
    </row>
    <row r="538" ht="15.75" customHeight="1" s="30">
      <c r="A538" s="14" t="n"/>
    </row>
    <row r="539" ht="15.75" customHeight="1" s="30">
      <c r="A539" s="14" t="n"/>
    </row>
    <row r="540" ht="15.75" customHeight="1" s="30">
      <c r="A540" s="14" t="n"/>
    </row>
    <row r="541" ht="15.75" customHeight="1" s="30">
      <c r="A541" s="14" t="n"/>
    </row>
    <row r="542" ht="15.75" customHeight="1" s="30">
      <c r="A542" s="14" t="n"/>
    </row>
    <row r="543" ht="15.75" customHeight="1" s="30">
      <c r="A543" s="14" t="n"/>
    </row>
    <row r="544" ht="15.75" customHeight="1" s="30">
      <c r="A544" s="14" t="n"/>
    </row>
    <row r="545" ht="15.75" customHeight="1" s="30">
      <c r="A545" s="14" t="n"/>
    </row>
    <row r="546" ht="15.75" customHeight="1" s="30">
      <c r="A546" s="14" t="n"/>
    </row>
    <row r="547" ht="15.75" customHeight="1" s="30">
      <c r="A547" s="14" t="n"/>
    </row>
    <row r="548" ht="15.75" customHeight="1" s="30">
      <c r="A548" s="14" t="n"/>
    </row>
    <row r="549" ht="15.75" customHeight="1" s="30">
      <c r="A549" s="14" t="n"/>
    </row>
    <row r="550" ht="15.75" customHeight="1" s="30">
      <c r="A550" s="14" t="n"/>
    </row>
    <row r="551" ht="15.75" customHeight="1" s="30">
      <c r="A551" s="14" t="n"/>
    </row>
    <row r="552" ht="15.75" customHeight="1" s="30">
      <c r="A552" s="14" t="n"/>
    </row>
    <row r="553" ht="15.75" customHeight="1" s="30">
      <c r="A553" s="14" t="n"/>
    </row>
    <row r="554" ht="15.75" customHeight="1" s="30">
      <c r="A554" s="14" t="n"/>
    </row>
    <row r="555" ht="15.75" customHeight="1" s="30">
      <c r="A555" s="14" t="n"/>
    </row>
    <row r="556" ht="15.75" customHeight="1" s="30">
      <c r="A556" s="14" t="n"/>
    </row>
    <row r="557" ht="15.75" customHeight="1" s="30">
      <c r="A557" s="14" t="n"/>
    </row>
    <row r="558" ht="15.75" customHeight="1" s="30">
      <c r="A558" s="14" t="n"/>
    </row>
    <row r="559" ht="15.75" customHeight="1" s="30">
      <c r="A559" s="14" t="n"/>
    </row>
    <row r="560" ht="15.75" customHeight="1" s="30">
      <c r="A560" s="14" t="n"/>
    </row>
    <row r="561" ht="15.75" customHeight="1" s="30">
      <c r="A561" s="14" t="n"/>
    </row>
    <row r="562" ht="15.75" customHeight="1" s="30">
      <c r="A562" s="14" t="n"/>
    </row>
    <row r="563" ht="15.75" customHeight="1" s="30">
      <c r="A563" s="14" t="n"/>
    </row>
    <row r="564" ht="15.75" customHeight="1" s="30">
      <c r="A564" s="14" t="n"/>
    </row>
    <row r="565" ht="15.75" customHeight="1" s="30">
      <c r="A565" s="14" t="n"/>
    </row>
    <row r="566" ht="15.75" customHeight="1" s="30">
      <c r="A566" s="14" t="n"/>
    </row>
    <row r="567" ht="15.75" customHeight="1" s="30">
      <c r="A567" s="14" t="n"/>
    </row>
    <row r="568" ht="15.75" customHeight="1" s="30">
      <c r="A568" s="14" t="n"/>
    </row>
    <row r="569" ht="15.75" customHeight="1" s="30">
      <c r="A569" s="14" t="n"/>
    </row>
    <row r="570" ht="15.75" customHeight="1" s="30">
      <c r="A570" s="14" t="n"/>
    </row>
    <row r="571" ht="15.75" customHeight="1" s="30">
      <c r="A571" s="14" t="n"/>
    </row>
    <row r="572" ht="15.75" customHeight="1" s="30">
      <c r="A572" s="14" t="n"/>
    </row>
    <row r="573" ht="15.75" customHeight="1" s="30">
      <c r="A573" s="14" t="n"/>
    </row>
    <row r="574" ht="15.75" customHeight="1" s="30">
      <c r="A574" s="14" t="n"/>
    </row>
    <row r="575" ht="15.75" customHeight="1" s="30">
      <c r="A575" s="14" t="n"/>
    </row>
    <row r="576" ht="15.75" customHeight="1" s="30">
      <c r="A576" s="14" t="n"/>
    </row>
    <row r="577" ht="15.75" customHeight="1" s="30">
      <c r="A577" s="14" t="n"/>
    </row>
    <row r="578" ht="15.75" customHeight="1" s="30">
      <c r="A578" s="14" t="n"/>
    </row>
    <row r="579" ht="15.75" customHeight="1" s="30">
      <c r="A579" s="14" t="n"/>
    </row>
    <row r="580" ht="15.75" customHeight="1" s="30">
      <c r="A580" s="14" t="n"/>
    </row>
    <row r="581" ht="15.75" customHeight="1" s="30">
      <c r="A581" s="14" t="n"/>
    </row>
    <row r="582" ht="15.75" customHeight="1" s="30">
      <c r="A582" s="14" t="n"/>
    </row>
    <row r="583" ht="15.75" customHeight="1" s="30">
      <c r="A583" s="14" t="n"/>
    </row>
    <row r="584" ht="15.75" customHeight="1" s="30">
      <c r="A584" s="14" t="n"/>
    </row>
    <row r="585" ht="15.75" customHeight="1" s="30">
      <c r="A585" s="14" t="n"/>
    </row>
    <row r="586" ht="15.75" customHeight="1" s="30">
      <c r="A586" s="14" t="n"/>
    </row>
    <row r="587" ht="15.75" customHeight="1" s="30">
      <c r="A587" s="14" t="n"/>
    </row>
    <row r="588" ht="15.75" customHeight="1" s="30">
      <c r="A588" s="14" t="n"/>
    </row>
    <row r="589" ht="15.75" customHeight="1" s="30">
      <c r="A589" s="14" t="n"/>
    </row>
    <row r="590" ht="15.75" customHeight="1" s="30">
      <c r="A590" s="14" t="n"/>
    </row>
    <row r="591" ht="15.75" customHeight="1" s="30">
      <c r="A591" s="14" t="n"/>
    </row>
    <row r="592" ht="15.75" customHeight="1" s="30">
      <c r="A592" s="14" t="n"/>
    </row>
    <row r="593" ht="15.75" customHeight="1" s="30">
      <c r="A593" s="14" t="n"/>
    </row>
    <row r="594" ht="15.75" customHeight="1" s="30">
      <c r="A594" s="14" t="n"/>
    </row>
    <row r="595" ht="15.75" customHeight="1" s="30">
      <c r="A595" s="14" t="n"/>
    </row>
    <row r="596" ht="15.75" customHeight="1" s="30">
      <c r="A596" s="14" t="n"/>
    </row>
    <row r="597" ht="15.75" customHeight="1" s="30">
      <c r="A597" s="14" t="n"/>
    </row>
    <row r="598" ht="15.75" customHeight="1" s="30">
      <c r="A598" s="14" t="n"/>
    </row>
    <row r="599" ht="15.75" customHeight="1" s="30">
      <c r="A599" s="14" t="n"/>
    </row>
    <row r="600" ht="15.75" customHeight="1" s="30">
      <c r="A600" s="14" t="n"/>
    </row>
    <row r="601" ht="15.75" customHeight="1" s="30">
      <c r="A601" s="14" t="n"/>
    </row>
    <row r="602" ht="15.75" customHeight="1" s="30">
      <c r="A602" s="14" t="n"/>
    </row>
    <row r="603" ht="15.75" customHeight="1" s="30">
      <c r="A603" s="14" t="n"/>
    </row>
    <row r="604" ht="15.75" customHeight="1" s="30">
      <c r="A604" s="14" t="n"/>
    </row>
    <row r="605" ht="15.75" customHeight="1" s="30">
      <c r="A605" s="14" t="n"/>
    </row>
    <row r="606" ht="15.75" customHeight="1" s="30">
      <c r="A606" s="14" t="n"/>
    </row>
    <row r="607" ht="15.75" customHeight="1" s="30">
      <c r="A607" s="14" t="n"/>
    </row>
    <row r="608" ht="15.75" customHeight="1" s="30">
      <c r="A608" s="14" t="n"/>
    </row>
    <row r="609" ht="15.75" customHeight="1" s="30">
      <c r="A609" s="14" t="n"/>
    </row>
    <row r="610" ht="15.75" customHeight="1" s="30">
      <c r="A610" s="14" t="n"/>
    </row>
    <row r="611" ht="15.75" customHeight="1" s="30">
      <c r="A611" s="14" t="n"/>
    </row>
    <row r="612" ht="15.75" customHeight="1" s="30">
      <c r="A612" s="14" t="n"/>
    </row>
    <row r="613" ht="15.75" customHeight="1" s="30">
      <c r="A613" s="14" t="n"/>
    </row>
    <row r="614" ht="15.75" customHeight="1" s="30">
      <c r="A614" s="14" t="n"/>
    </row>
    <row r="615" ht="15.75" customHeight="1" s="30">
      <c r="A615" s="14" t="n"/>
    </row>
    <row r="616" ht="15.75" customHeight="1" s="30">
      <c r="A616" s="14" t="n"/>
    </row>
    <row r="617" ht="15.75" customHeight="1" s="30">
      <c r="A617" s="14" t="n"/>
    </row>
    <row r="618" ht="15.75" customHeight="1" s="30">
      <c r="A618" s="14" t="n"/>
    </row>
    <row r="619" ht="15.75" customHeight="1" s="30">
      <c r="A619" s="14" t="n"/>
    </row>
    <row r="620" ht="15.75" customHeight="1" s="30">
      <c r="A620" s="14" t="n"/>
    </row>
    <row r="621" ht="15.75" customHeight="1" s="30">
      <c r="A621" s="14" t="n"/>
    </row>
    <row r="622" ht="15.75" customHeight="1" s="30">
      <c r="A622" s="14" t="n"/>
    </row>
    <row r="623" ht="15.75" customHeight="1" s="30">
      <c r="A623" s="14" t="n"/>
    </row>
    <row r="624" ht="15.75" customHeight="1" s="30">
      <c r="A624" s="14" t="n"/>
    </row>
    <row r="625" ht="15.75" customHeight="1" s="30">
      <c r="A625" s="14" t="n"/>
    </row>
    <row r="626" ht="15.75" customHeight="1" s="30">
      <c r="A626" s="14" t="n"/>
    </row>
    <row r="627" ht="15.75" customHeight="1" s="30">
      <c r="A627" s="14" t="n"/>
    </row>
    <row r="628" ht="15.75" customHeight="1" s="30">
      <c r="A628" s="14" t="n"/>
    </row>
    <row r="629" ht="15.75" customHeight="1" s="30">
      <c r="A629" s="14" t="n"/>
    </row>
    <row r="630" ht="15.75" customHeight="1" s="30">
      <c r="A630" s="14" t="n"/>
    </row>
    <row r="631" ht="15.75" customHeight="1" s="30">
      <c r="A631" s="14" t="n"/>
    </row>
    <row r="632" ht="15.75" customHeight="1" s="30">
      <c r="A632" s="14" t="n"/>
    </row>
    <row r="633" ht="15.75" customHeight="1" s="30">
      <c r="A633" s="14" t="n"/>
    </row>
    <row r="634" ht="15.75" customHeight="1" s="30">
      <c r="A634" s="14" t="n"/>
    </row>
    <row r="635" ht="15.75" customHeight="1" s="30">
      <c r="A635" s="14" t="n"/>
    </row>
    <row r="636" ht="15.75" customHeight="1" s="30">
      <c r="A636" s="14" t="n"/>
    </row>
    <row r="637" ht="15.75" customHeight="1" s="30">
      <c r="A637" s="14" t="n"/>
    </row>
    <row r="638" ht="15.75" customHeight="1" s="30">
      <c r="A638" s="14" t="n"/>
    </row>
    <row r="639" ht="15.75" customHeight="1" s="30">
      <c r="A639" s="14" t="n"/>
    </row>
    <row r="640" ht="15.75" customHeight="1" s="30">
      <c r="A640" s="14" t="n"/>
    </row>
    <row r="641" ht="15.75" customHeight="1" s="30">
      <c r="A641" s="14" t="n"/>
    </row>
    <row r="642" ht="15.75" customHeight="1" s="30">
      <c r="A642" s="14" t="n"/>
    </row>
    <row r="643" ht="15.75" customHeight="1" s="30">
      <c r="A643" s="14" t="n"/>
    </row>
    <row r="644" ht="15.75" customHeight="1" s="30">
      <c r="A644" s="14" t="n"/>
    </row>
    <row r="645" ht="15.75" customHeight="1" s="30">
      <c r="A645" s="14" t="n"/>
    </row>
    <row r="646" ht="15.75" customHeight="1" s="30">
      <c r="A646" s="14" t="n"/>
    </row>
    <row r="647" ht="15.75" customHeight="1" s="30">
      <c r="A647" s="14" t="n"/>
    </row>
    <row r="648" ht="15.75" customHeight="1" s="30">
      <c r="A648" s="14" t="n"/>
    </row>
    <row r="649" ht="15.75" customHeight="1" s="30">
      <c r="A649" s="14" t="n"/>
    </row>
    <row r="650" ht="15.75" customHeight="1" s="30">
      <c r="A650" s="14" t="n"/>
    </row>
    <row r="651" ht="15.75" customHeight="1" s="30">
      <c r="A651" s="14" t="n"/>
    </row>
    <row r="652" ht="15.75" customHeight="1" s="30">
      <c r="A652" s="14" t="n"/>
    </row>
    <row r="653" ht="15.75" customHeight="1" s="30">
      <c r="A653" s="14" t="n"/>
    </row>
    <row r="654" ht="15.75" customHeight="1" s="30">
      <c r="A654" s="14" t="n"/>
    </row>
    <row r="655" ht="15.75" customHeight="1" s="30">
      <c r="A655" s="14" t="n"/>
    </row>
    <row r="656" ht="15.75" customHeight="1" s="30">
      <c r="A656" s="14" t="n"/>
    </row>
    <row r="657" ht="15.75" customHeight="1" s="30">
      <c r="A657" s="14" t="n"/>
    </row>
    <row r="658" ht="15.75" customHeight="1" s="30">
      <c r="A658" s="14" t="n"/>
    </row>
    <row r="659" ht="15.75" customHeight="1" s="30">
      <c r="A659" s="14" t="n"/>
    </row>
    <row r="660" ht="15.75" customHeight="1" s="30">
      <c r="A660" s="14" t="n"/>
    </row>
    <row r="661" ht="15.75" customHeight="1" s="30">
      <c r="A661" s="14" t="n"/>
    </row>
    <row r="662" ht="15.75" customHeight="1" s="30">
      <c r="A662" s="14" t="n"/>
    </row>
    <row r="663" ht="15.75" customHeight="1" s="30">
      <c r="A663" s="14" t="n"/>
    </row>
    <row r="664" ht="15.75" customHeight="1" s="30">
      <c r="A664" s="14" t="n"/>
    </row>
    <row r="665" ht="15.75" customHeight="1" s="30">
      <c r="A665" s="14" t="n"/>
    </row>
    <row r="666" ht="15.75" customHeight="1" s="30">
      <c r="A666" s="14" t="n"/>
    </row>
    <row r="667" ht="15.75" customHeight="1" s="30">
      <c r="A667" s="14" t="n"/>
    </row>
    <row r="668" ht="15.75" customHeight="1" s="30">
      <c r="A668" s="14" t="n"/>
    </row>
    <row r="669" ht="15.75" customHeight="1" s="30">
      <c r="A669" s="14" t="n"/>
    </row>
    <row r="670" ht="15.75" customHeight="1" s="30">
      <c r="A670" s="14" t="n"/>
    </row>
    <row r="671" ht="15.75" customHeight="1" s="30">
      <c r="A671" s="14" t="n"/>
    </row>
    <row r="672" ht="15.75" customHeight="1" s="30">
      <c r="A672" s="14" t="n"/>
    </row>
    <row r="673" ht="15.75" customHeight="1" s="30">
      <c r="A673" s="14" t="n"/>
    </row>
    <row r="674" ht="15.75" customHeight="1" s="30">
      <c r="A674" s="14" t="n"/>
    </row>
    <row r="675" ht="15.75" customHeight="1" s="30">
      <c r="A675" s="14" t="n"/>
    </row>
    <row r="676" ht="15.75" customHeight="1" s="30">
      <c r="A676" s="14" t="n"/>
    </row>
    <row r="677" ht="15.75" customHeight="1" s="30">
      <c r="A677" s="14" t="n"/>
    </row>
    <row r="678" ht="15.75" customHeight="1" s="30">
      <c r="A678" s="14" t="n"/>
    </row>
    <row r="679" ht="15.75" customHeight="1" s="30">
      <c r="A679" s="14" t="n"/>
    </row>
    <row r="680" ht="15.75" customHeight="1" s="30">
      <c r="A680" s="14" t="n"/>
    </row>
    <row r="681" ht="15.75" customHeight="1" s="30">
      <c r="A681" s="14" t="n"/>
    </row>
    <row r="682" ht="15.75" customHeight="1" s="30">
      <c r="A682" s="14" t="n"/>
    </row>
    <row r="683" ht="15.75" customHeight="1" s="30">
      <c r="A683" s="14" t="n"/>
    </row>
    <row r="684" ht="15.75" customHeight="1" s="30">
      <c r="A684" s="14" t="n"/>
    </row>
    <row r="685" ht="15.75" customHeight="1" s="30">
      <c r="A685" s="14" t="n"/>
    </row>
    <row r="686" ht="15.75" customHeight="1" s="30">
      <c r="A686" s="14" t="n"/>
    </row>
    <row r="687" ht="15.75" customHeight="1" s="30">
      <c r="A687" s="14" t="n"/>
    </row>
    <row r="688" ht="15.75" customHeight="1" s="30">
      <c r="A688" s="14" t="n"/>
    </row>
    <row r="689" ht="15.75" customHeight="1" s="30">
      <c r="A689" s="14" t="n"/>
    </row>
    <row r="690" ht="15.75" customHeight="1" s="30">
      <c r="A690" s="14" t="n"/>
    </row>
    <row r="691" ht="15.75" customHeight="1" s="30">
      <c r="A691" s="14" t="n"/>
    </row>
    <row r="692" ht="15.75" customHeight="1" s="30">
      <c r="A692" s="14" t="n"/>
    </row>
    <row r="693" ht="15.75" customHeight="1" s="30">
      <c r="A693" s="14" t="n"/>
    </row>
    <row r="694" ht="15.75" customHeight="1" s="30">
      <c r="A694" s="14" t="n"/>
    </row>
    <row r="695" ht="15.75" customHeight="1" s="30">
      <c r="A695" s="14" t="n"/>
    </row>
    <row r="696" ht="15.75" customHeight="1" s="30">
      <c r="A696" s="14" t="n"/>
    </row>
    <row r="697" ht="15.75" customHeight="1" s="30">
      <c r="A697" s="14" t="n"/>
    </row>
    <row r="698" ht="15.75" customHeight="1" s="30">
      <c r="A698" s="14" t="n"/>
    </row>
    <row r="699" ht="15.75" customHeight="1" s="30">
      <c r="A699" s="14" t="n"/>
    </row>
    <row r="700" ht="15.75" customHeight="1" s="30">
      <c r="A700" s="14" t="n"/>
    </row>
    <row r="701" ht="15.75" customHeight="1" s="30">
      <c r="A701" s="14" t="n"/>
    </row>
    <row r="702" ht="15.75" customHeight="1" s="30">
      <c r="A702" s="14" t="n"/>
    </row>
    <row r="703" ht="15.75" customHeight="1" s="30">
      <c r="A703" s="14" t="n"/>
    </row>
    <row r="704" ht="15.75" customHeight="1" s="30">
      <c r="A704" s="14" t="n"/>
    </row>
    <row r="705" ht="15.75" customHeight="1" s="30">
      <c r="A705" s="14" t="n"/>
    </row>
    <row r="706" ht="15.75" customHeight="1" s="30">
      <c r="A706" s="14" t="n"/>
    </row>
    <row r="707" ht="15.75" customHeight="1" s="30">
      <c r="A707" s="14" t="n"/>
    </row>
    <row r="708" ht="15.75" customHeight="1" s="30">
      <c r="A708" s="14" t="n"/>
    </row>
    <row r="709" ht="15.75" customHeight="1" s="30">
      <c r="A709" s="14" t="n"/>
    </row>
    <row r="710" ht="15.75" customHeight="1" s="30">
      <c r="A710" s="14" t="n"/>
    </row>
    <row r="711" ht="15.75" customHeight="1" s="30">
      <c r="A711" s="14" t="n"/>
    </row>
    <row r="712" ht="15.75" customHeight="1" s="30">
      <c r="A712" s="14" t="n"/>
    </row>
    <row r="713" ht="15.75" customHeight="1" s="30">
      <c r="A713" s="14" t="n"/>
    </row>
    <row r="714" ht="15.75" customHeight="1" s="30">
      <c r="A714" s="14" t="n"/>
    </row>
    <row r="715" ht="15.75" customHeight="1" s="30">
      <c r="A715" s="14" t="n"/>
    </row>
    <row r="716" ht="15.75" customHeight="1" s="30">
      <c r="A716" s="14" t="n"/>
    </row>
    <row r="717" ht="15.75" customHeight="1" s="30">
      <c r="A717" s="14" t="n"/>
    </row>
    <row r="718" ht="15.75" customHeight="1" s="30">
      <c r="A718" s="14" t="n"/>
    </row>
    <row r="719" ht="15.75" customHeight="1" s="30">
      <c r="A719" s="14" t="n"/>
    </row>
    <row r="720" ht="15.75" customHeight="1" s="30">
      <c r="A720" s="14" t="n"/>
    </row>
    <row r="721" ht="15.75" customHeight="1" s="30">
      <c r="A721" s="14" t="n"/>
    </row>
    <row r="722" ht="15.75" customHeight="1" s="30">
      <c r="A722" s="14" t="n"/>
    </row>
    <row r="723" ht="15.75" customHeight="1" s="30">
      <c r="A723" s="14" t="n"/>
    </row>
    <row r="724" ht="15.75" customHeight="1" s="30">
      <c r="A724" s="14" t="n"/>
    </row>
    <row r="725" ht="15.75" customHeight="1" s="30">
      <c r="A725" s="14" t="n"/>
    </row>
    <row r="726" ht="15.75" customHeight="1" s="30">
      <c r="A726" s="14" t="n"/>
    </row>
    <row r="727" ht="15.75" customHeight="1" s="30">
      <c r="A727" s="14" t="n"/>
    </row>
    <row r="728" ht="15.75" customHeight="1" s="30">
      <c r="A728" s="14" t="n"/>
    </row>
    <row r="729" ht="15.75" customHeight="1" s="30">
      <c r="A729" s="14" t="n"/>
    </row>
    <row r="730" ht="15.75" customHeight="1" s="30">
      <c r="A730" s="14" t="n"/>
    </row>
    <row r="731" ht="15.75" customHeight="1" s="30">
      <c r="A731" s="14" t="n"/>
    </row>
    <row r="732" ht="15.75" customHeight="1" s="30">
      <c r="A732" s="14" t="n"/>
    </row>
    <row r="733" ht="15.75" customHeight="1" s="30">
      <c r="A733" s="14" t="n"/>
    </row>
    <row r="734" ht="15.75" customHeight="1" s="30">
      <c r="A734" s="14" t="n"/>
    </row>
    <row r="735" ht="15.75" customHeight="1" s="30">
      <c r="A735" s="14" t="n"/>
    </row>
    <row r="736" ht="15.75" customHeight="1" s="30">
      <c r="A736" s="14" t="n"/>
    </row>
    <row r="737" ht="15.75" customHeight="1" s="30">
      <c r="A737" s="14" t="n"/>
    </row>
    <row r="738" ht="15.75" customHeight="1" s="30">
      <c r="A738" s="14" t="n"/>
    </row>
    <row r="739" ht="15.75" customHeight="1" s="30">
      <c r="A739" s="14" t="n"/>
    </row>
    <row r="740" ht="15.75" customHeight="1" s="30">
      <c r="A740" s="14" t="n"/>
    </row>
    <row r="741" ht="15.75" customHeight="1" s="30">
      <c r="A741" s="14" t="n"/>
    </row>
    <row r="742" ht="15.75" customHeight="1" s="30">
      <c r="A742" s="14" t="n"/>
    </row>
    <row r="743" ht="15.75" customHeight="1" s="30">
      <c r="A743" s="14" t="n"/>
    </row>
    <row r="744" ht="15.75" customHeight="1" s="30">
      <c r="A744" s="14" t="n"/>
    </row>
    <row r="745" ht="15.75" customHeight="1" s="30">
      <c r="A745" s="14" t="n"/>
    </row>
    <row r="746" ht="15.75" customHeight="1" s="30">
      <c r="A746" s="14" t="n"/>
    </row>
    <row r="747" ht="15.75" customHeight="1" s="30">
      <c r="A747" s="14" t="n"/>
    </row>
    <row r="748" ht="15.75" customHeight="1" s="30">
      <c r="A748" s="14" t="n"/>
    </row>
    <row r="749" ht="15.75" customHeight="1" s="30">
      <c r="A749" s="14" t="n"/>
    </row>
    <row r="750" ht="15.75" customHeight="1" s="30">
      <c r="A750" s="14" t="n"/>
    </row>
    <row r="751" ht="15.75" customHeight="1" s="30">
      <c r="A751" s="14" t="n"/>
    </row>
    <row r="752" ht="15.75" customHeight="1" s="30">
      <c r="A752" s="14" t="n"/>
    </row>
    <row r="753" ht="15.75" customHeight="1" s="30">
      <c r="A753" s="14" t="n"/>
    </row>
    <row r="754" ht="15.75" customHeight="1" s="30">
      <c r="A754" s="14" t="n"/>
    </row>
    <row r="755" ht="15.75" customHeight="1" s="30">
      <c r="A755" s="14" t="n"/>
    </row>
    <row r="756" ht="15.75" customHeight="1" s="30">
      <c r="A756" s="14" t="n"/>
    </row>
    <row r="757" ht="15.75" customHeight="1" s="30">
      <c r="A757" s="14" t="n"/>
    </row>
    <row r="758" ht="15.75" customHeight="1" s="30">
      <c r="A758" s="14" t="n"/>
    </row>
    <row r="759" ht="15.75" customHeight="1" s="30">
      <c r="A759" s="14" t="n"/>
    </row>
    <row r="760" ht="15.75" customHeight="1" s="30">
      <c r="A760" s="14" t="n"/>
    </row>
    <row r="761" ht="15.75" customHeight="1" s="30">
      <c r="A761" s="14" t="n"/>
    </row>
    <row r="762" ht="15.75" customHeight="1" s="30">
      <c r="A762" s="14" t="n"/>
    </row>
    <row r="763" ht="15.75" customHeight="1" s="30">
      <c r="A763" s="14" t="n"/>
    </row>
    <row r="764" ht="15.75" customHeight="1" s="30">
      <c r="A764" s="14" t="n"/>
    </row>
    <row r="765" ht="15.75" customHeight="1" s="30">
      <c r="A765" s="14" t="n"/>
    </row>
    <row r="766" ht="15.75" customHeight="1" s="30">
      <c r="A766" s="14" t="n"/>
    </row>
    <row r="767" ht="15.75" customHeight="1" s="30">
      <c r="A767" s="14" t="n"/>
    </row>
    <row r="768" ht="15.75" customHeight="1" s="30">
      <c r="A768" s="14" t="n"/>
    </row>
    <row r="769" ht="15.75" customHeight="1" s="30">
      <c r="A769" s="14" t="n"/>
    </row>
    <row r="770" ht="15.75" customHeight="1" s="30">
      <c r="A770" s="14" t="n"/>
    </row>
    <row r="771" ht="15.75" customHeight="1" s="30">
      <c r="A771" s="14" t="n"/>
    </row>
    <row r="772" ht="15.75" customHeight="1" s="30">
      <c r="A772" s="14" t="n"/>
    </row>
    <row r="773" ht="15.75" customHeight="1" s="30">
      <c r="A773" s="14" t="n"/>
    </row>
    <row r="774" ht="15.75" customHeight="1" s="30">
      <c r="A774" s="14" t="n"/>
    </row>
    <row r="775" ht="15.75" customHeight="1" s="30">
      <c r="A775" s="14" t="n"/>
    </row>
    <row r="776" ht="15.75" customHeight="1" s="30">
      <c r="A776" s="14" t="n"/>
    </row>
    <row r="777" ht="15.75" customHeight="1" s="30">
      <c r="A777" s="14" t="n"/>
    </row>
    <row r="778" ht="15.75" customHeight="1" s="30">
      <c r="A778" s="14" t="n"/>
    </row>
    <row r="779" ht="15.75" customHeight="1" s="30">
      <c r="A779" s="14" t="n"/>
    </row>
    <row r="780" ht="15.75" customHeight="1" s="30">
      <c r="A780" s="14" t="n"/>
    </row>
    <row r="781" ht="15.75" customHeight="1" s="30">
      <c r="A781" s="14" t="n"/>
    </row>
    <row r="782" ht="15.75" customHeight="1" s="30">
      <c r="A782" s="14" t="n"/>
    </row>
    <row r="783" ht="15.75" customHeight="1" s="30">
      <c r="A783" s="14" t="n"/>
    </row>
    <row r="784" ht="15.75" customHeight="1" s="30">
      <c r="A784" s="14" t="n"/>
    </row>
    <row r="785" ht="15.75" customHeight="1" s="30">
      <c r="A785" s="14" t="n"/>
    </row>
    <row r="786" ht="15.75" customHeight="1" s="30">
      <c r="A786" s="14" t="n"/>
    </row>
    <row r="787" ht="15.75" customHeight="1" s="30">
      <c r="A787" s="14" t="n"/>
    </row>
    <row r="788" ht="15.75" customHeight="1" s="30">
      <c r="A788" s="14" t="n"/>
    </row>
    <row r="789" ht="15.75" customHeight="1" s="30">
      <c r="A789" s="14" t="n"/>
    </row>
    <row r="790" ht="15.75" customHeight="1" s="30">
      <c r="A790" s="14" t="n"/>
    </row>
    <row r="791" ht="15.75" customHeight="1" s="30">
      <c r="A791" s="14" t="n"/>
    </row>
    <row r="792" ht="15.75" customHeight="1" s="30">
      <c r="A792" s="14" t="n"/>
    </row>
    <row r="793" ht="15.75" customHeight="1" s="30">
      <c r="A793" s="14" t="n"/>
    </row>
    <row r="794" ht="15.75" customHeight="1" s="30">
      <c r="A794" s="14" t="n"/>
    </row>
    <row r="795" ht="15.75" customHeight="1" s="30">
      <c r="A795" s="14" t="n"/>
    </row>
    <row r="796" ht="15.75" customHeight="1" s="30">
      <c r="A796" s="14" t="n"/>
    </row>
    <row r="797" ht="15.75" customHeight="1" s="30">
      <c r="A797" s="14" t="n"/>
    </row>
    <row r="798" ht="15.75" customHeight="1" s="30">
      <c r="A798" s="14" t="n"/>
    </row>
    <row r="799" ht="15.75" customHeight="1" s="30">
      <c r="A799" s="14" t="n"/>
    </row>
    <row r="800" ht="15.75" customHeight="1" s="30">
      <c r="A800" s="14" t="n"/>
    </row>
    <row r="801" ht="15.75" customHeight="1" s="30">
      <c r="A801" s="14" t="n"/>
    </row>
    <row r="802" ht="15.75" customHeight="1" s="30">
      <c r="A802" s="14" t="n"/>
    </row>
    <row r="803" ht="15.75" customHeight="1" s="30">
      <c r="A803" s="14" t="n"/>
    </row>
    <row r="804" ht="15.75" customHeight="1" s="30">
      <c r="A804" s="14" t="n"/>
    </row>
    <row r="805" ht="15.75" customHeight="1" s="30">
      <c r="A805" s="14" t="n"/>
    </row>
    <row r="806" ht="15.75" customHeight="1" s="30">
      <c r="A806" s="14" t="n"/>
    </row>
    <row r="807" ht="15.75" customHeight="1" s="30">
      <c r="A807" s="14" t="n"/>
    </row>
    <row r="808" ht="15.75" customHeight="1" s="30">
      <c r="A808" s="14" t="n"/>
    </row>
    <row r="809" ht="15.75" customHeight="1" s="30">
      <c r="A809" s="14" t="n"/>
    </row>
    <row r="810" ht="15.75" customHeight="1" s="30">
      <c r="A810" s="14" t="n"/>
    </row>
    <row r="811" ht="15.75" customHeight="1" s="30">
      <c r="A811" s="14" t="n"/>
    </row>
    <row r="812" ht="15.75" customHeight="1" s="30">
      <c r="A812" s="14" t="n"/>
    </row>
    <row r="813" ht="15.75" customHeight="1" s="30">
      <c r="A813" s="14" t="n"/>
    </row>
    <row r="814" ht="15.75" customHeight="1" s="30">
      <c r="A814" s="14" t="n"/>
    </row>
    <row r="815" ht="15.75" customHeight="1" s="30">
      <c r="A815" s="14" t="n"/>
    </row>
    <row r="816" ht="15.75" customHeight="1" s="30">
      <c r="A816" s="14" t="n"/>
    </row>
    <row r="817" ht="15.75" customHeight="1" s="30">
      <c r="A817" s="14" t="n"/>
    </row>
    <row r="818" ht="15.75" customHeight="1" s="30">
      <c r="A818" s="14" t="n"/>
    </row>
    <row r="819" ht="15.75" customHeight="1" s="30">
      <c r="A819" s="14" t="n"/>
    </row>
    <row r="820" ht="15.75" customHeight="1" s="30">
      <c r="A820" s="14" t="n"/>
    </row>
    <row r="821" ht="15.75" customHeight="1" s="30">
      <c r="A821" s="14" t="n"/>
    </row>
    <row r="822" ht="15.75" customHeight="1" s="30">
      <c r="A822" s="14" t="n"/>
    </row>
    <row r="823" ht="15.75" customHeight="1" s="30">
      <c r="A823" s="14" t="n"/>
    </row>
    <row r="824" ht="15.75" customHeight="1" s="30">
      <c r="A824" s="14" t="n"/>
    </row>
    <row r="825" ht="15.75" customHeight="1" s="30">
      <c r="A825" s="14" t="n"/>
    </row>
    <row r="826" ht="15.75" customHeight="1" s="30">
      <c r="A826" s="14" t="n"/>
    </row>
    <row r="827" ht="15.75" customHeight="1" s="30">
      <c r="A827" s="14" t="n"/>
    </row>
    <row r="828" ht="15.75" customHeight="1" s="30">
      <c r="A828" s="14" t="n"/>
    </row>
    <row r="829" ht="15.75" customHeight="1" s="30">
      <c r="A829" s="14" t="n"/>
    </row>
    <row r="830" ht="15.75" customHeight="1" s="30">
      <c r="A830" s="14" t="n"/>
    </row>
    <row r="831" ht="15.75" customHeight="1" s="30">
      <c r="A831" s="14" t="n"/>
    </row>
    <row r="832" ht="15.75" customHeight="1" s="30">
      <c r="A832" s="14" t="n"/>
    </row>
    <row r="833" ht="15.75" customHeight="1" s="30">
      <c r="A833" s="14" t="n"/>
    </row>
    <row r="834" ht="15.75" customHeight="1" s="30">
      <c r="A834" s="14" t="n"/>
    </row>
    <row r="835" ht="15.75" customHeight="1" s="30">
      <c r="A835" s="14" t="n"/>
    </row>
    <row r="836" ht="15.75" customHeight="1" s="30">
      <c r="A836" s="14" t="n"/>
    </row>
    <row r="837" ht="15.75" customHeight="1" s="30">
      <c r="A837" s="14" t="n"/>
    </row>
    <row r="838" ht="15.75" customHeight="1" s="30">
      <c r="A838" s="14" t="n"/>
    </row>
    <row r="839" ht="15.75" customHeight="1" s="30">
      <c r="A839" s="14" t="n"/>
    </row>
    <row r="840" ht="15.75" customHeight="1" s="30">
      <c r="A840" s="14" t="n"/>
    </row>
    <row r="841" ht="15.75" customHeight="1" s="30">
      <c r="A841" s="14" t="n"/>
    </row>
    <row r="842" ht="15.75" customHeight="1" s="30">
      <c r="A842" s="14" t="n"/>
    </row>
    <row r="843" ht="15.75" customHeight="1" s="30">
      <c r="A843" s="14" t="n"/>
    </row>
    <row r="844" ht="15.75" customHeight="1" s="30">
      <c r="A844" s="14" t="n"/>
    </row>
    <row r="845" ht="15.75" customHeight="1" s="30">
      <c r="A845" s="14" t="n"/>
    </row>
    <row r="846" ht="15.75" customHeight="1" s="30">
      <c r="A846" s="14" t="n"/>
    </row>
    <row r="847" ht="15.75" customHeight="1" s="30">
      <c r="A847" s="14" t="n"/>
    </row>
    <row r="848" ht="15.75" customHeight="1" s="30">
      <c r="A848" s="14" t="n"/>
    </row>
    <row r="849" ht="15.75" customHeight="1" s="30">
      <c r="A849" s="14" t="n"/>
    </row>
    <row r="850" ht="15.75" customHeight="1" s="30">
      <c r="A850" s="14" t="n"/>
    </row>
    <row r="851" ht="15.75" customHeight="1" s="30">
      <c r="A851" s="14" t="n"/>
    </row>
    <row r="852" ht="15.75" customHeight="1" s="30">
      <c r="A852" s="14" t="n"/>
    </row>
    <row r="853" ht="15.75" customHeight="1" s="30">
      <c r="A853" s="14" t="n"/>
    </row>
    <row r="854" ht="15.75" customHeight="1" s="30">
      <c r="A854" s="14" t="n"/>
    </row>
    <row r="855" ht="15.75" customHeight="1" s="30">
      <c r="A855" s="14" t="n"/>
    </row>
    <row r="856" ht="15.75" customHeight="1" s="30">
      <c r="A856" s="14" t="n"/>
    </row>
    <row r="857" ht="15.75" customHeight="1" s="30">
      <c r="A857" s="14" t="n"/>
    </row>
    <row r="858" ht="15.75" customHeight="1" s="30">
      <c r="A858" s="14" t="n"/>
    </row>
    <row r="859" ht="15.75" customHeight="1" s="30">
      <c r="A859" s="14" t="n"/>
    </row>
    <row r="860" ht="15.75" customHeight="1" s="30">
      <c r="A860" s="14" t="n"/>
    </row>
    <row r="861" ht="15.75" customHeight="1" s="30">
      <c r="A861" s="14" t="n"/>
    </row>
    <row r="862" ht="15.75" customHeight="1" s="30">
      <c r="A862" s="14" t="n"/>
    </row>
    <row r="863" ht="15.75" customHeight="1" s="30">
      <c r="A863" s="14" t="n"/>
    </row>
    <row r="864" ht="15.75" customHeight="1" s="30">
      <c r="A864" s="14" t="n"/>
    </row>
    <row r="865" ht="15.75" customHeight="1" s="30">
      <c r="A865" s="14" t="n"/>
    </row>
    <row r="866" ht="15.75" customHeight="1" s="30">
      <c r="A866" s="14" t="n"/>
    </row>
    <row r="867" ht="15.75" customHeight="1" s="30">
      <c r="A867" s="14" t="n"/>
    </row>
    <row r="868" ht="15.75" customHeight="1" s="30">
      <c r="A868" s="14" t="n"/>
    </row>
    <row r="869" ht="15.75" customHeight="1" s="30">
      <c r="A869" s="14" t="n"/>
    </row>
    <row r="870" ht="15.75" customHeight="1" s="30">
      <c r="A870" s="14" t="n"/>
    </row>
    <row r="871" ht="15.75" customHeight="1" s="30">
      <c r="A871" s="14" t="n"/>
    </row>
    <row r="872" ht="15.75" customHeight="1" s="30">
      <c r="A872" s="14" t="n"/>
    </row>
    <row r="873" ht="15.75" customHeight="1" s="30">
      <c r="A873" s="14" t="n"/>
    </row>
    <row r="874" ht="15.75" customHeight="1" s="30">
      <c r="A874" s="14" t="n"/>
    </row>
    <row r="875" ht="15.75" customHeight="1" s="30">
      <c r="A875" s="14" t="n"/>
    </row>
    <row r="876" ht="15.75" customHeight="1" s="30">
      <c r="A876" s="14" t="n"/>
    </row>
    <row r="877" ht="15.75" customHeight="1" s="30">
      <c r="A877" s="14" t="n"/>
    </row>
    <row r="878" ht="15.75" customHeight="1" s="30">
      <c r="A878" s="14" t="n"/>
    </row>
    <row r="879" ht="15.75" customHeight="1" s="30">
      <c r="A879" s="14" t="n"/>
    </row>
    <row r="880" ht="15.75" customHeight="1" s="30">
      <c r="A880" s="14" t="n"/>
    </row>
    <row r="881" ht="15.75" customHeight="1" s="30">
      <c r="A881" s="14" t="n"/>
    </row>
    <row r="882" ht="15.75" customHeight="1" s="30">
      <c r="A882" s="14" t="n"/>
    </row>
    <row r="883" ht="15.75" customHeight="1" s="30">
      <c r="A883" s="14" t="n"/>
    </row>
    <row r="884" ht="15.75" customHeight="1" s="30">
      <c r="A884" s="14" t="n"/>
    </row>
    <row r="885" ht="15.75" customHeight="1" s="30">
      <c r="A885" s="14" t="n"/>
    </row>
    <row r="886" ht="15.75" customHeight="1" s="30">
      <c r="A886" s="14" t="n"/>
    </row>
    <row r="887" ht="15.75" customHeight="1" s="30">
      <c r="A887" s="14" t="n"/>
    </row>
    <row r="888" ht="15.75" customHeight="1" s="30">
      <c r="A888" s="14" t="n"/>
    </row>
    <row r="889" ht="15.75" customHeight="1" s="30">
      <c r="A889" s="14" t="n"/>
    </row>
    <row r="890" ht="15.75" customHeight="1" s="30">
      <c r="A890" s="14" t="n"/>
    </row>
    <row r="891" ht="15.75" customHeight="1" s="30">
      <c r="A891" s="14" t="n"/>
    </row>
    <row r="892" ht="15.75" customHeight="1" s="30">
      <c r="A892" s="14" t="n"/>
    </row>
    <row r="893" ht="15.75" customHeight="1" s="30">
      <c r="A893" s="14" t="n"/>
    </row>
    <row r="894" ht="15.75" customHeight="1" s="30">
      <c r="A894" s="14" t="n"/>
    </row>
    <row r="895" ht="15.75" customHeight="1" s="30">
      <c r="A895" s="14" t="n"/>
    </row>
    <row r="896" ht="15.75" customHeight="1" s="30">
      <c r="A896" s="14" t="n"/>
    </row>
    <row r="897" ht="15.75" customHeight="1" s="30">
      <c r="A897" s="14" t="n"/>
    </row>
    <row r="898" ht="15.75" customHeight="1" s="30">
      <c r="A898" s="14" t="n"/>
    </row>
    <row r="899" ht="15.75" customHeight="1" s="30">
      <c r="A899" s="14" t="n"/>
    </row>
    <row r="900" ht="15.75" customHeight="1" s="30">
      <c r="A900" s="14" t="n"/>
    </row>
    <row r="901" ht="15.75" customHeight="1" s="30">
      <c r="A901" s="14" t="n"/>
    </row>
    <row r="902" ht="15.75" customHeight="1" s="30">
      <c r="A902" s="14" t="n"/>
    </row>
    <row r="903" ht="15.75" customHeight="1" s="30">
      <c r="A903" s="14" t="n"/>
    </row>
    <row r="904" ht="15.75" customHeight="1" s="30">
      <c r="A904" s="14" t="n"/>
    </row>
    <row r="905" ht="15.75" customHeight="1" s="30">
      <c r="A905" s="14" t="n"/>
    </row>
    <row r="906" ht="15.75" customHeight="1" s="30">
      <c r="A906" s="14" t="n"/>
    </row>
    <row r="907" ht="15.75" customHeight="1" s="30">
      <c r="A907" s="14" t="n"/>
    </row>
    <row r="908" ht="15.75" customHeight="1" s="30">
      <c r="A908" s="14" t="n"/>
    </row>
    <row r="909" ht="15.75" customHeight="1" s="30">
      <c r="A909" s="14" t="n"/>
    </row>
    <row r="910" ht="15.75" customHeight="1" s="30">
      <c r="A910" s="14" t="n"/>
    </row>
    <row r="911" ht="15.75" customHeight="1" s="30">
      <c r="A911" s="14" t="n"/>
    </row>
    <row r="912" ht="15.75" customHeight="1" s="30">
      <c r="A912" s="14" t="n"/>
    </row>
    <row r="913" ht="15.75" customHeight="1" s="30">
      <c r="A913" s="14" t="n"/>
    </row>
    <row r="914" ht="15.75" customHeight="1" s="30">
      <c r="A914" s="14" t="n"/>
    </row>
    <row r="915" ht="15.75" customHeight="1" s="30">
      <c r="A915" s="14" t="n"/>
    </row>
    <row r="916" ht="15.75" customHeight="1" s="30">
      <c r="A916" s="14" t="n"/>
    </row>
    <row r="917" ht="15.75" customHeight="1" s="30">
      <c r="A917" s="14" t="n"/>
    </row>
    <row r="918" ht="15.75" customHeight="1" s="30">
      <c r="A918" s="14" t="n"/>
    </row>
    <row r="919" ht="15.75" customHeight="1" s="30">
      <c r="A919" s="14" t="n"/>
    </row>
    <row r="920" ht="15.75" customHeight="1" s="30">
      <c r="A920" s="14" t="n"/>
    </row>
    <row r="921" ht="15.75" customHeight="1" s="30">
      <c r="A921" s="14" t="n"/>
    </row>
    <row r="922" ht="15.75" customHeight="1" s="30">
      <c r="A922" s="14" t="n"/>
    </row>
    <row r="923" ht="15.75" customHeight="1" s="30">
      <c r="A923" s="14" t="n"/>
    </row>
    <row r="924" ht="15.75" customHeight="1" s="30">
      <c r="A924" s="14" t="n"/>
    </row>
    <row r="925" ht="15.75" customHeight="1" s="30">
      <c r="A925" s="14" t="n"/>
    </row>
    <row r="926" ht="15.75" customHeight="1" s="30">
      <c r="A926" s="14" t="n"/>
    </row>
    <row r="927" ht="15.75" customHeight="1" s="30">
      <c r="A927" s="14" t="n"/>
    </row>
    <row r="928" ht="15.75" customHeight="1" s="30">
      <c r="A928" s="14" t="n"/>
    </row>
    <row r="929" ht="15.75" customHeight="1" s="30">
      <c r="A929" s="14" t="n"/>
    </row>
    <row r="930" ht="15.75" customHeight="1" s="30">
      <c r="A930" s="14" t="n"/>
    </row>
    <row r="931" ht="15.75" customHeight="1" s="30">
      <c r="A931" s="14" t="n"/>
    </row>
    <row r="932" ht="15.75" customHeight="1" s="30">
      <c r="A932" s="14" t="n"/>
    </row>
    <row r="933" ht="15.75" customHeight="1" s="30">
      <c r="A933" s="14" t="n"/>
    </row>
    <row r="934" ht="15.75" customHeight="1" s="30">
      <c r="A934" s="14" t="n"/>
    </row>
    <row r="935" ht="15.75" customHeight="1" s="30">
      <c r="A935" s="14" t="n"/>
    </row>
    <row r="936" ht="15.75" customHeight="1" s="30">
      <c r="A936" s="14" t="n"/>
    </row>
    <row r="937" ht="15.75" customHeight="1" s="30">
      <c r="A937" s="14" t="n"/>
    </row>
    <row r="938" ht="15.75" customHeight="1" s="30">
      <c r="A938" s="14" t="n"/>
    </row>
    <row r="939" ht="15.75" customHeight="1" s="30">
      <c r="A939" s="14" t="n"/>
    </row>
    <row r="940" ht="15.75" customHeight="1" s="30">
      <c r="A940" s="14" t="n"/>
    </row>
    <row r="941" ht="15.75" customHeight="1" s="30">
      <c r="A941" s="14" t="n"/>
    </row>
    <row r="942" ht="15.75" customHeight="1" s="30">
      <c r="A942" s="14" t="n"/>
    </row>
    <row r="943" ht="15.75" customHeight="1" s="30">
      <c r="A943" s="14" t="n"/>
    </row>
    <row r="944" ht="15.75" customHeight="1" s="30">
      <c r="A944" s="14" t="n"/>
    </row>
    <row r="945" ht="15.75" customHeight="1" s="30">
      <c r="A945" s="14" t="n"/>
    </row>
    <row r="946" ht="15.75" customHeight="1" s="30">
      <c r="A946" s="14" t="n"/>
    </row>
    <row r="947" ht="15.75" customHeight="1" s="30">
      <c r="A947" s="14" t="n"/>
    </row>
    <row r="948" ht="15.75" customHeight="1" s="30">
      <c r="A948" s="14" t="n"/>
    </row>
    <row r="949" ht="15.75" customHeight="1" s="30">
      <c r="A949" s="14" t="n"/>
    </row>
    <row r="950" ht="15.75" customHeight="1" s="30">
      <c r="A950" s="14" t="n"/>
    </row>
    <row r="951" ht="15.75" customHeight="1" s="30">
      <c r="A951" s="14" t="n"/>
    </row>
    <row r="952" ht="15.75" customHeight="1" s="30">
      <c r="A952" s="14" t="n"/>
    </row>
    <row r="953" ht="15.75" customHeight="1" s="30">
      <c r="A953" s="14" t="n"/>
    </row>
    <row r="954" ht="15.75" customHeight="1" s="30">
      <c r="A954" s="14" t="n"/>
    </row>
    <row r="955" ht="15.75" customHeight="1" s="30">
      <c r="A955" s="14" t="n"/>
    </row>
    <row r="956" ht="15.75" customHeight="1" s="30">
      <c r="A956" s="14" t="n"/>
    </row>
    <row r="957" ht="15.75" customHeight="1" s="30">
      <c r="A957" s="14" t="n"/>
    </row>
    <row r="958" ht="15.75" customHeight="1" s="30">
      <c r="A958" s="14" t="n"/>
    </row>
    <row r="959" ht="15.75" customHeight="1" s="30">
      <c r="A959" s="14" t="n"/>
    </row>
    <row r="960" ht="15.75" customHeight="1" s="30">
      <c r="A960" s="14" t="n"/>
    </row>
    <row r="961" ht="15.75" customHeight="1" s="30">
      <c r="A961" s="14" t="n"/>
    </row>
    <row r="962" ht="15.75" customHeight="1" s="30">
      <c r="A962" s="14" t="n"/>
    </row>
    <row r="963" ht="15.75" customHeight="1" s="30">
      <c r="A963" s="14" t="n"/>
    </row>
    <row r="964" ht="15.75" customHeight="1" s="30">
      <c r="A964" s="14" t="n"/>
    </row>
    <row r="965" ht="15.75" customHeight="1" s="30">
      <c r="A965" s="14" t="n"/>
    </row>
    <row r="966" ht="15.75" customHeight="1" s="30">
      <c r="A966" s="14" t="n"/>
    </row>
    <row r="967" ht="15.75" customHeight="1" s="30">
      <c r="A967" s="14" t="n"/>
    </row>
    <row r="968" ht="15.75" customHeight="1" s="30">
      <c r="A968" s="14" t="n"/>
    </row>
    <row r="969" ht="15.75" customHeight="1" s="30">
      <c r="A969" s="14" t="n"/>
    </row>
    <row r="970" ht="15.75" customHeight="1" s="30">
      <c r="A970" s="14" t="n"/>
    </row>
    <row r="971" ht="15.75" customHeight="1" s="30">
      <c r="A971" s="14" t="n"/>
    </row>
    <row r="972" ht="15.75" customHeight="1" s="30">
      <c r="A972" s="14" t="n"/>
    </row>
    <row r="973" ht="15.75" customHeight="1" s="30">
      <c r="A973" s="14" t="n"/>
    </row>
    <row r="974" ht="15.75" customHeight="1" s="30">
      <c r="A974" s="14" t="n"/>
    </row>
    <row r="975" ht="15.75" customHeight="1" s="30">
      <c r="A975" s="14" t="n"/>
    </row>
    <row r="976" ht="15.75" customHeight="1" s="30">
      <c r="A976" s="14" t="n"/>
    </row>
    <row r="977" ht="15.75" customHeight="1" s="30">
      <c r="A977" s="14" t="n"/>
    </row>
    <row r="978" ht="15.75" customHeight="1" s="30">
      <c r="A978" s="14" t="n"/>
    </row>
    <row r="979" ht="15.75" customHeight="1" s="30">
      <c r="A979" s="14" t="n"/>
    </row>
    <row r="980" ht="15.75" customHeight="1" s="30">
      <c r="A980" s="14" t="n"/>
    </row>
    <row r="981" ht="15.75" customHeight="1" s="30">
      <c r="A981" s="14" t="n"/>
    </row>
    <row r="982" ht="15.75" customHeight="1" s="30">
      <c r="A982" s="14" t="n"/>
    </row>
    <row r="983" ht="15.75" customHeight="1" s="30">
      <c r="A983" s="14" t="n"/>
    </row>
    <row r="984" ht="15.75" customHeight="1" s="30">
      <c r="A984" s="14" t="n"/>
    </row>
    <row r="985" ht="15.75" customHeight="1" s="30">
      <c r="A985" s="14" t="n"/>
    </row>
    <row r="986" ht="15.75" customHeight="1" s="30">
      <c r="A986" s="14" t="n"/>
    </row>
    <row r="987" ht="15.75" customHeight="1" s="30">
      <c r="A987" s="14" t="n"/>
    </row>
    <row r="988" ht="15.75" customHeight="1" s="30">
      <c r="A988" s="14" t="n"/>
    </row>
    <row r="989" ht="15.75" customHeight="1" s="30">
      <c r="A989" s="14" t="n"/>
    </row>
    <row r="990" ht="15.75" customHeight="1" s="30">
      <c r="A990" s="14" t="n"/>
    </row>
    <row r="991" ht="15.75" customHeight="1" s="30">
      <c r="A991" s="14" t="n"/>
    </row>
    <row r="992" ht="15.75" customHeight="1" s="30">
      <c r="A992" s="14" t="n"/>
    </row>
    <row r="993" ht="15.75" customHeight="1" s="30">
      <c r="A993" s="14" t="n"/>
    </row>
    <row r="994" ht="15.75" customHeight="1" s="30">
      <c r="A994" s="14" t="n"/>
    </row>
    <row r="995" ht="15.75" customHeight="1" s="30">
      <c r="A995" s="14" t="n"/>
    </row>
    <row r="996" ht="15.75" customHeight="1" s="30">
      <c r="A996" s="14" t="n"/>
    </row>
    <row r="997" ht="15.75" customHeight="1" s="30">
      <c r="A997" s="14" t="n"/>
    </row>
    <row r="998" ht="15.75" customHeight="1" s="30">
      <c r="A998" s="14" t="n"/>
    </row>
    <row r="999" ht="15.75" customHeight="1" s="30">
      <c r="A999" s="14" t="n"/>
    </row>
    <row r="1000" ht="15.75" customHeight="1" s="30">
      <c r="A1000" s="1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2026-07-09T15:25:45Z</dcterms:created>
  <dcterms:modified xsi:type="dcterms:W3CDTF">2026-07-09T15:25:45Z</dcterms:modified>
</cp:coreProperties>
</file>